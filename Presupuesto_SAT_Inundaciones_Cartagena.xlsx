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4"/>
    <sheet state="visible" name="Supuestos_Turismo" sheetId="2" r:id="rId5"/>
    <sheet state="visible" name="Presupuesto" sheetId="3" r:id="rId6"/>
    <sheet state="visible" name="Sistema_Contable" sheetId="4" r:id="rId7"/>
    <sheet state="visible" name="Distribucion" sheetId="5" r:id="rId8"/>
    <sheet state="visible" name="Ingresos_Temporada" sheetId="6" r:id="rId9"/>
    <sheet state="visible" name="Interpretacion_Datos" sheetId="7" r:id="rId10"/>
    <sheet state="visible" name="Metricas_Ciencia_Datos" sheetId="8" r:id="rId11"/>
    <sheet state="visible" name="Tabla_Resumen" sheetId="9" r:id="rId12"/>
    <sheet state="visible" name="Conclusiones" sheetId="10" r:id="rId13"/>
    <sheet state="visible" name="Datos_Base" sheetId="11" r:id="rId14"/>
  </sheets>
  <definedNames/>
  <calcPr/>
</workbook>
</file>

<file path=xl/sharedStrings.xml><?xml version="1.0" encoding="utf-8"?>
<sst xmlns="http://schemas.openxmlformats.org/spreadsheetml/2006/main" count="287" uniqueCount="188">
  <si>
    <t>PILOTO SAT DE INUNDACIONES — ZONAS TURÍSTICAS DE CARTAGENA</t>
  </si>
  <si>
    <t>Presupuesto del proyecto · Corte a 12.000.000 COP · Bocagrande (zona consolidada) y La Boquilla (zona en potencia)</t>
  </si>
  <si>
    <t>1. Descripción del proyecto</t>
  </si>
  <si>
    <t>Implementación piloto de un Sistema de Alerta Temprana (SAT) de inundaciones orientado a proteger a turistas, residentes y prestadores de servicios en dos puntos de Cartagena: una zona turística consolidada en temporada alta y baja (Bocagrande) y una zona en potencia de desarrollo turístico (La Boquilla). El sistema integra sensores de nivel de agua y pluviómetros IoT, una plataforma de monitoreo y alertas, y protocolos comunitarios de respuesta.</t>
  </si>
  <si>
    <t>2. Cifras clave</t>
  </si>
  <si>
    <t>Indicador</t>
  </si>
  <si>
    <t>Valor</t>
  </si>
  <si>
    <t>Presupuesto total del piloto (COP)</t>
  </si>
  <si>
    <t>Puntos piloto</t>
  </si>
  <si>
    <t>Zona 1 — clasificación</t>
  </si>
  <si>
    <t>Consolidada (alta y baja afluencia)</t>
  </si>
  <si>
    <t>Zona 2 — clasificación</t>
  </si>
  <si>
    <t>En potencia de desarrollo turístico</t>
  </si>
  <si>
    <t>Presupuesto Zona 1 — Bocagrande (COP)</t>
  </si>
  <si>
    <t>Presupuesto Zona 2 — La Boquilla (COP)</t>
  </si>
  <si>
    <t>Valor turístico estimado protegido — temporada alta (COP)</t>
  </si>
  <si>
    <t>Valor turístico estimado protegido — temporada baja (COP)</t>
  </si>
  <si>
    <t>3. Contenido del libro</t>
  </si>
  <si>
    <t>• Supuestos_Turismo — datos y fuentes usados para proyectar visitantes, gasto y temporadas.</t>
  </si>
  <si>
    <t>• Presupuesto — presupuesto de 12.000.000 COP por categoría y zona, con gráfico de barras.</t>
  </si>
  <si>
    <t>• Sistema_Contable — clasificación PUC, CAPEX/OPEX y depreciación del presupuesto.</t>
  </si>
  <si>
    <t>• Distribucion — gráficos de pastel: participación por zona y por categoría de gasto.</t>
  </si>
  <si>
    <t>• Ingresos_Temporada — estimación del valor turístico por zona y temporada, con gráfico de barras.</t>
  </si>
  <si>
    <t>• Interpretacion_Datos — cómo las empresas pueden monetizar los datos del SAT.</t>
  </si>
  <si>
    <t>• Metricas_Ciencia_Datos — KPIs para evaluar el desempeño del modelo de alerta.</t>
  </si>
  <si>
    <t>• Tabla_Resumen — tabla dinámica (estilo verde oliva y blanco) cruzando categoría, zona y temporada.</t>
  </si>
  <si>
    <t>• Conclusiones — hallazgos, notas metodológicas y próximos pasos del proyecto.</t>
  </si>
  <si>
    <t>TURISMO CARTAGENA</t>
  </si>
  <si>
    <t>Celdas en azul = dato de fuente oficial o estimación propia editable</t>
  </si>
  <si>
    <t>Variable</t>
  </si>
  <si>
    <t>Fuente / observación</t>
  </si>
  <si>
    <t>Visitantes movilizados, temporada de fin de año 15-dic-2025 a 15-ene-2026 (32 días)</t>
  </si>
  <si>
    <t>Alcaldía de Cartagena / Corpoturismo, balance temporada dic-2025–ene-2026 (&gt;1,3 millones de visitantes).</t>
  </si>
  <si>
    <t>Días de la temporada de fin de año usada como referencia</t>
  </si>
  <si>
    <t>15 de diciembre a 15 de enero.</t>
  </si>
  <si>
    <t>Pasajeros movilizados acumulados a noviembre de 2025 (11 meses, todo el año)</t>
  </si>
  <si>
    <t>Corpoturismo, balance de gestión 2025 (El Tiempo, dic-2025).</t>
  </si>
  <si>
    <t>Gasto promedio por turista/día en Cartagena (COP)</t>
  </si>
  <si>
    <t>Revista Semana / Discover — guía de presupuesto de viaje a Cartagena.</t>
  </si>
  <si>
    <t>Días totales de temporada alta al año (dic-ene + Semana Santa + jun-jul)</t>
  </si>
  <si>
    <t>Estimación propia: suma de las tres ventanas de alta afluencia reportadas por Corpoturismo.</t>
  </si>
  <si>
    <t>Días totales de temporada baja al año</t>
  </si>
  <si>
    <t>365 − días de temporada alta (fórmula).</t>
  </si>
  <si>
    <t>Participación de Zona 1 (Bocagrande) en el flujo turístico total de la ciudad</t>
  </si>
  <si>
    <t>Estimación propia: zona hotelera consolidada de mayor concentración histórica.</t>
  </si>
  <si>
    <t>Participación de Zona 2 (La Boquilla) en el flujo turístico total de la ciudad</t>
  </si>
  <si>
    <t>Estimación propia: zona emergente, oferta hotelera/gastronómica aún limitada.</t>
  </si>
  <si>
    <t>Gasto promedio turista/día en Zona 2 — La Boquilla (COP)</t>
  </si>
  <si>
    <t>Estimación propia (~49% del gasto de Zona 1) por menor oferta formal de servicios.</t>
  </si>
  <si>
    <t>PRESUPUESTO DEL PROYECTO — 12.000.000 COP</t>
  </si>
  <si>
    <t>Piloto SAT de inundaciones · Zona 1: Bocagrande (consolidada) · Zona 2: La Boquilla (en potencia)</t>
  </si>
  <si>
    <t>Categoría de gasto</t>
  </si>
  <si>
    <t>Zona 1 · Bocagrande (COP)</t>
  </si>
  <si>
    <t>Zona 2 · La Boquilla (COP)</t>
  </si>
  <si>
    <t>Total (COP)</t>
  </si>
  <si>
    <t>Sensores y equipos IoT (nivel de agua, pluviómetros)</t>
  </si>
  <si>
    <t>Plataforma de monitoreo, alertas y hosting</t>
  </si>
  <si>
    <t>Instalación y adecuación de puntos</t>
  </si>
  <si>
    <t>Capacitación comunitaria y a operadores turísticos</t>
  </si>
  <si>
    <t>Señalización y difusión</t>
  </si>
  <si>
    <t>Mantenimiento y soporte del piloto (3-6 meses)</t>
  </si>
  <si>
    <t>Coordinación y gestión del proyecto</t>
  </si>
  <si>
    <t>Imprevistos (contingencia)</t>
  </si>
  <si>
    <t>TOTAL</t>
  </si>
  <si>
    <t>SISTEMA CONTABLE DEL PROYECTO</t>
  </si>
  <si>
    <t>Clasificación bajo el Plan Único de Cuentas (PUC – Colombia) · CAPEX / OPEX · depreciación en línea recta</t>
  </si>
  <si>
    <t>4. Clasificación contable por categoría</t>
  </si>
  <si>
    <t>Cuenta PUC</t>
  </si>
  <si>
    <t>Categoría</t>
  </si>
  <si>
    <t>Tipo</t>
  </si>
  <si>
    <t>Monto (COP)</t>
  </si>
  <si>
    <t>Naturaleza</t>
  </si>
  <si>
    <t>Vida útil (meses)</t>
  </si>
  <si>
    <t>Depreciación/ amortización mensual (COP)</t>
  </si>
  <si>
    <t>1528 - Equipo de comunicación y computación</t>
  </si>
  <si>
    <t>Activo (CAPEX)</t>
  </si>
  <si>
    <t>Débito</t>
  </si>
  <si>
    <t>1635 - Software (activo intangible)</t>
  </si>
  <si>
    <t>1524 - Equipo de oficina / adecuaciones</t>
  </si>
  <si>
    <t>511010 - Gastos de capacitación</t>
  </si>
  <si>
    <t>Gasto (OPEX)</t>
  </si>
  <si>
    <t>Débito (gasto)</t>
  </si>
  <si>
    <t>—</t>
  </si>
  <si>
    <t>No aplica (gasto del periodo)</t>
  </si>
  <si>
    <t>523525 - Publicidad y propaganda</t>
  </si>
  <si>
    <t>512020 - Mantenimiento de equipo</t>
  </si>
  <si>
    <t>510506 - Honorarios / gestión de proyectos</t>
  </si>
  <si>
    <t>529530 - Gastos diversos / imprevistos</t>
  </si>
  <si>
    <t>5. Resumen CAPEX vs. OPEX</t>
  </si>
  <si>
    <t>Componente</t>
  </si>
  <si>
    <t>Participación</t>
  </si>
  <si>
    <t>CAPEX — Activos (equipos, software, obra)</t>
  </si>
  <si>
    <t>OPEX — Gastos operativos y de gestión</t>
  </si>
  <si>
    <t>6. Depreciación y amortización mensual total</t>
  </si>
  <si>
    <t>Cargo mensual estimado a resultados (COP/mes)</t>
  </si>
  <si>
    <t>DISTRIBUCIÓN DEL PRESUPUESTO</t>
  </si>
  <si>
    <t>Participación por zona y por categoría de gasto</t>
  </si>
  <si>
    <t>Zona</t>
  </si>
  <si>
    <t>Presupuesto (COP)</t>
  </si>
  <si>
    <t>Presupuesto total (COP)</t>
  </si>
  <si>
    <t>Zona 1 · Bocagrande</t>
  </si>
  <si>
    <t>Zona 2 · La Boquilla</t>
  </si>
  <si>
    <t>VALOR TURÍSTICO ESTIMADO POR ZONA Y TEMPORADA</t>
  </si>
  <si>
    <t>Estimación de la actividad económica turística que el SAT contribuye a proteger (no es ingreso del proyecto)</t>
  </si>
  <si>
    <t>Temporada</t>
  </si>
  <si>
    <t>Visitantes/día (estimado)</t>
  </si>
  <si>
    <t>Gasto/día (COP)</t>
  </si>
  <si>
    <t>Días de temporada</t>
  </si>
  <si>
    <t>Valor turístico estimado (COP)</t>
  </si>
  <si>
    <t>Alta</t>
  </si>
  <si>
    <t>Baja</t>
  </si>
  <si>
    <t>OPORTUNIDADES DE NEGOCIO</t>
  </si>
  <si>
    <t>Cómo los datos del SAT pueden generar ingresos para empresas turísticas y aseguradoras</t>
  </si>
  <si>
    <t>7. Qué mide el SAT y cómo se interpreta</t>
  </si>
  <si>
    <t>El SAT captura tres tipos de datos: nivel de agua e intensidad de lluvia (sensores IoT y pluviómetros), variables de contexto (marea, temporada) y flujo de visitantes por zona. La interpretación consiste en cruzar estas series con umbrales de riesgo para generar tres niveles de alerta (verde, amarillo, rojo) y, más importante, en traducir ese nivel en una acción concreta — evacuación, cierre temporal de playas, activación de protocolos — en vez de limitarse a reportar un dato aislado.</t>
  </si>
  <si>
    <t>8. Cómo las empresas pueden ganar dinero con esta solución</t>
  </si>
  <si>
    <t>Mecanismo</t>
  </si>
  <si>
    <t>Cómo funciona y a quién beneficia</t>
  </si>
  <si>
    <t>Seguros paramétricos</t>
  </si>
  <si>
    <t>Aseguradoras pueden ofrecer pólizas para hoteles y operadores turísticos que pagan automáticamente cuando el sensor supera un umbral de nivel de agua o lluvia, sin necesidad de peritaje. El sector turístico ya usa este modelo frente a huracanes y clima adverso porque cubre la pérdida de ingresos por cancelaciones, no solo el daño físico, y agiliza el pago frente al seguro tradicional.</t>
  </si>
  <si>
    <t>Dato como servicio (Data as a Service)</t>
  </si>
  <si>
    <t>El operador del SAT puede vender acceso al dashboard y a las alertas en tiempo real a hoteles, agencias de tours, restaurantes y aseguradoras mediante una suscripción mensual, evitando que cada empresa deba instalar sus propios sensores.</t>
  </si>
  <si>
    <t>Tarificación dinámica</t>
  </si>
  <si>
    <t>Hoteles y operadores de playa pueden ajustar precios y disponibilidad de reservas según el nivel de riesgo previsto para los próximos días, protegiendo margen en temporada alta y evitando sobreventa en días de alerta.</t>
  </si>
  <si>
    <t>Continuidad operativa y reputación</t>
  </si>
  <si>
    <t>Un sello de 'zona con SAT activo' es un argumento de marketing y de gestión de riesgo frente a agencias de viaje y aseguradoras, y reduce el tiempo de cierre tras un evento al activar protocolos antes de que ocurra la inundación.</t>
  </si>
  <si>
    <t>Mantenimiento predictivo de infraestructura</t>
  </si>
  <si>
    <t>Cadenas hoteleras e infraestructura pública (malecón, vías) pueden usar el histórico de niveles de agua para priorizar mantenimiento preventivo en los puntos más expuestos, reduciendo costos de reparación de emergencia.</t>
  </si>
  <si>
    <t xml:space="preserve">MÉTRICAS </t>
  </si>
  <si>
    <t>Indicadores para evaluar el desempeño del modelo de alerta y la calidad de los datos</t>
  </si>
  <si>
    <t>9. Métricas de desempeño del modelo de alerta</t>
  </si>
  <si>
    <t>Métrica</t>
  </si>
  <si>
    <t>Qué mide</t>
  </si>
  <si>
    <t>Meta sugerida</t>
  </si>
  <si>
    <t>Precisión (Precision)</t>
  </si>
  <si>
    <t>De las alertas emitidas, qué porcentaje correspondió a un evento real de inundación (evita falsas alarmas que erosionan la confianza).</t>
  </si>
  <si>
    <t>≥ 85%</t>
  </si>
  <si>
    <t>Sensibilidad (Recall)</t>
  </si>
  <si>
    <t>De los eventos reales de inundación, qué porcentaje fue detectado a tiempo por el sistema.</t>
  </si>
  <si>
    <t>≥ 90%</t>
  </si>
  <si>
    <t>F1-score</t>
  </si>
  <si>
    <t>Balance entre precisión y sensibilidad; útil cuando el costo de una falsa alarma y el de una alerta perdida son ambos altos.</t>
  </si>
  <si>
    <t>≥ 0,85</t>
  </si>
  <si>
    <t>Tiempo de anticipación (lead time)</t>
  </si>
  <si>
    <t>Minutos u horas entre la emisión de la alerta y el momento en que el nivel de agua alcanza el umbral crítico.</t>
  </si>
  <si>
    <t>≥ 30 min</t>
  </si>
  <si>
    <t>Tasa de falsos positivos</t>
  </si>
  <si>
    <t>Proporción de alertas emitidas que no correspondieron a un evento real; impacta directamente la credibilidad ante hoteles y turistas.</t>
  </si>
  <si>
    <t>≤ 10%</t>
  </si>
  <si>
    <t>RMSE / MAE en la predicción de nivel de agua</t>
  </si>
  <si>
    <t>Error promedio entre el nivel de agua pronosticado y el observado, en centímetros.</t>
  </si>
  <si>
    <t>Definir línea base tras 3 meses de datos</t>
  </si>
  <si>
    <t>Completitud de datos (uptime de sensores)</t>
  </si>
  <si>
    <t>Porcentaje de tiempo en que cada sensor reporta datos válidos, clave para no perder eventos por fallas de hardware o conectividad.</t>
  </si>
  <si>
    <t>≥ 95%</t>
  </si>
  <si>
    <t>Latencia del dato</t>
  </si>
  <si>
    <t>Tiempo entre la medición en campo y su disponibilidad en el panel de monitoreo.</t>
  </si>
  <si>
    <t>≤ 2 min</t>
  </si>
  <si>
    <t>10. Cadencia de monitoreo de las métricas</t>
  </si>
  <si>
    <t>Nivel operativo (uptime, latencia)</t>
  </si>
  <si>
    <t>Revisión diaria automática desde la plataforma de monitoreo.</t>
  </si>
  <si>
    <t>Nivel de modelo (precisión, recall, RMSE)</t>
  </si>
  <si>
    <t>Revisión mensual, comparando alertas emitidas contra eventos reales registrados por el equipo en campo.</t>
  </si>
  <si>
    <t>TABLA DINÁMICA — PRESUPUESTO POR CATEGORÍA Y ZONA</t>
  </si>
  <si>
    <t>Estilo verde oliva y blanco · valores calculados con SUMIFS sobre Datos_Base</t>
  </si>
  <si>
    <t>Total general</t>
  </si>
  <si>
    <t>TABLA DINÁMICA — VALOR TURÍSTICO POR ZONA Y TEMPORADA</t>
  </si>
  <si>
    <t>Temporada alta (COP)</t>
  </si>
  <si>
    <t>Temporada baja (COP)</t>
  </si>
  <si>
    <t>Total zona (COP)</t>
  </si>
  <si>
    <t>CONCLUSIONES</t>
  </si>
  <si>
    <t>Piloto SAT de inundaciones en zonas turísticas de Cartagena</t>
  </si>
  <si>
    <t>11. Conclusiones del proyecto</t>
  </si>
  <si>
    <t>Viabilidad presupuestal</t>
  </si>
  <si>
    <t>El piloto es viable con 12.000.000 COP siempre que se mantenga el alcance de dos puntos (Bocagrande y La Boquilla) y un horizonte de 3 a 6 meses; ampliar a más zonas o a un monitoreo permanente requiere un presupuesto adicional, principalmente en mantenimiento y coordinación.</t>
  </si>
  <si>
    <t>Metodología de cifras turísticas</t>
  </si>
  <si>
    <t>Las cifras de afluencia y gasto turístico se basan en reportes oficiales de la Alcaldía de Cartagena y Corpoturismo (ver hoja Supuestos_Turismo). La participación de cada zona en el flujo turístico total y el gasto diferencial de la zona en potencia son estimaciones propias y deben validarse con datos primarios de cada zona antes de presentar el documento a un tercero.</t>
  </si>
  <si>
    <t>Uso de las celdas editables</t>
  </si>
  <si>
    <t>Las celdas en azul (Supuestos_Turismo y Presupuesto) son entradas editables. El presupuesto total debe permanecer en 12.000.000 COP; si se redistribuyen montos entre categorías o zonas, los totales y las hojas dependientes (Distribucion, Ingresos_Temporada, Sistema_Contable, Tabla_Resumen) se recalculan automáticamente.</t>
  </si>
  <si>
    <t>Alcance de las tablas dinámicas</t>
  </si>
  <si>
    <t>Las tablas de la hoja Tabla_Resumen funcionan como tablas dinámicas: agregan automáticamente los datos de Datos_Base e Ingresos_Temporada mediante fórmulas SUMIFS. Para una tabla dinámica nativa de Excel, seleccione los datos de origen y use Insertar &gt; Tabla dinámica; el estilo verde oliva y blanco puede aplicarse desde Diseño &gt; Estilos de tabla dinámica &gt; Nuevo estilo de tabla dinámica.</t>
  </si>
  <si>
    <t>Alcance del valor turístico estimado</t>
  </si>
  <si>
    <t>El valor turístico estimado por zona y temporada (hoja Ingresos_Temporada) representa la actividad económica turística de cada zona, no una ganancia generada por el SAT. Se usa como referencia del valor económico que el sistema ayuda a proteger frente a interrupciones por inundación, y para dimensionar el presupuesto del piloto frente al tamaño de la economía turística local.</t>
  </si>
  <si>
    <t>Modelo de sostenibilidad financiera</t>
  </si>
  <si>
    <t>La clasificación contable (hoja Sistema_Contable) y las oportunidades de monetización para empresas (hoja Interpretacion_Datos) sugieren una vía de sostenibilidad más allá del presupuesto público inicial: suscripciones de datos, alianzas con aseguradoras para seguros paramétricos y venta de acceso al dashboard a operadores turísticos.</t>
  </si>
  <si>
    <t>Próximos pasos recomendados</t>
  </si>
  <si>
    <t>Validar los supuestos de participación turística por zona con Corpoturismo o los gremios hoteleros locales, definir la línea base de las métricas de ciencia de datos (hoja Metricas_Ciencia_Datos) durante los primeros tres meses de operación, y explorar acuerdos comerciales con al menos una aseguradora para el piloto de seguro paramétrico.</t>
  </si>
  <si>
    <t xml:space="preserve">DATOS BASE — PRESUPUESTO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</si>
</sst>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quot;($&quot;#,##0\);\-"/>
    <numFmt numFmtId="165" formatCode="0.0%"/>
  </numFmts>
  <fonts count="9">
    <font>
      <sz val="11.0"/>
      <color/>
      <name val="Arial"/>
      <scheme val="minor"/>
    </font>
    <font>
      <b/>
      <sz val="18.0"/>
      <color rgb="FFFFFFFF"/>
      <name val="Times New Roman"/>
    </font>
    <font/>
    <font>
      <i/>
      <sz val="12.0"/>
      <color rgb="FF5B5E1F"/>
      <name val="Times New Roman"/>
    </font>
    <font>
      <b/>
      <sz val="13.0"/>
      <color rgb="FFFFFFFF"/>
      <name val="Times New Roman"/>
    </font>
    <font>
      <sz val="11.0"/>
      <color rgb="FF2B2B12"/>
      <name val="Times New Roman"/>
    </font>
    <font>
      <b/>
      <sz val="11.0"/>
      <color rgb="FFFFFFFF"/>
      <name val="Times New Roman"/>
    </font>
    <font>
      <sz val="11.0"/>
      <color rgb="FF0000FF"/>
      <name val="Times New Roman"/>
    </font>
    <font>
      <b/>
      <sz val="11.0"/>
      <color rgb="FF2B2B12"/>
      <name val="Times New Roman"/>
    </font>
  </fonts>
  <fills count="7">
    <fill>
      <patternFill patternType="none"/>
    </fill>
    <fill>
      <patternFill patternType="lightGray"/>
    </fill>
    <fill>
      <patternFill patternType="solid">
        <fgColor rgb="FF5B5E1F"/>
        <bgColor rgb="FF5B5E1F"/>
      </patternFill>
    </fill>
    <fill>
      <patternFill patternType="solid">
        <fgColor rgb="FFFFFFFF"/>
        <bgColor rgb="FFFFFFFF"/>
      </patternFill>
    </fill>
    <fill>
      <patternFill patternType="solid">
        <fgColor rgb="FFE7EACB"/>
        <bgColor rgb="FFE7EACB"/>
      </patternFill>
    </fill>
    <fill>
      <patternFill patternType="solid">
        <fgColor rgb="FFFFF9E3"/>
        <bgColor rgb="FFFFF9E3"/>
      </patternFill>
    </fill>
    <fill>
      <patternFill patternType="solid">
        <fgColor rgb="FF7C7F3A"/>
        <bgColor rgb="FF7C7F3A"/>
      </patternFill>
    </fill>
  </fills>
  <borders count="10">
    <border/>
    <border>
      <left/>
      <top/>
      <bottom/>
    </border>
    <border>
      <top/>
      <bottom/>
    </border>
    <border>
      <right/>
      <top/>
      <bottom/>
    </border>
    <border>
      <left style="thin">
        <color rgb="FFB9BC8C"/>
      </left>
      <right style="thin">
        <color rgb="FFB9BC8C"/>
      </right>
      <top style="thin">
        <color rgb="FFB9BC8C"/>
      </top>
      <bottom style="thin">
        <color rgb="FFB9BC8C"/>
      </bottom>
    </border>
    <border>
      <left style="thin">
        <color rgb="FFB9BC8C"/>
      </left>
      <top style="thin">
        <color rgb="FFB9BC8C"/>
      </top>
      <bottom style="thin">
        <color rgb="FFB9BC8C"/>
      </bottom>
    </border>
    <border>
      <right style="thin">
        <color rgb="FFB9BC8C"/>
      </right>
      <top style="thin">
        <color rgb="FFB9BC8C"/>
      </top>
      <bottom style="thin">
        <color rgb="FFB9BC8C"/>
      </bottom>
    </border>
    <border>
      <top style="thin">
        <color rgb="FFB9BC8C"/>
      </top>
      <bottom style="thin">
        <color rgb="FFB9BC8C"/>
      </bottom>
    </border>
    <border>
      <left style="thin">
        <color rgb="FFB9BC8C"/>
      </left>
      <right style="thin">
        <color rgb="FFB9BC8C"/>
      </right>
      <top style="thin">
        <color rgb="FFB9BC8C"/>
      </top>
    </border>
    <border>
      <left style="thin">
        <color rgb="FFB9BC8C"/>
      </left>
      <right style="thin">
        <color rgb="FFB9BC8C"/>
      </right>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2" fillId="0" fontId="2" numFmtId="0" xfId="0" applyBorder="1" applyFont="1"/>
    <xf borderId="3" fillId="0" fontId="2" numFmtId="0" xfId="0" applyBorder="1" applyFont="1"/>
    <xf borderId="0" fillId="0" fontId="3" numFmtId="0" xfId="0" applyAlignment="1" applyFont="1">
      <alignment horizontal="center" shrinkToFit="0" vertical="center" wrapText="0"/>
    </xf>
    <xf borderId="1" fillId="2" fontId="4" numFmtId="0" xfId="0" applyAlignment="1" applyBorder="1" applyFont="1">
      <alignment shrinkToFit="0" vertical="bottom" wrapText="0"/>
    </xf>
    <xf borderId="0" fillId="0" fontId="5" numFmtId="0" xfId="0" applyAlignment="1" applyFont="1">
      <alignment horizontal="left" shrinkToFit="0" vertical="top" wrapText="1"/>
    </xf>
    <xf borderId="4" fillId="2" fontId="6" numFmtId="0" xfId="0" applyAlignment="1" applyBorder="1" applyFont="1">
      <alignment horizontal="center" shrinkToFit="0" vertical="bottom" wrapText="0"/>
    </xf>
    <xf borderId="5" fillId="2" fontId="6" numFmtId="0" xfId="0" applyAlignment="1" applyBorder="1" applyFont="1">
      <alignment horizontal="center" shrinkToFit="0" vertical="bottom" wrapText="0"/>
    </xf>
    <xf borderId="6" fillId="0" fontId="2" numFmtId="0" xfId="0" applyBorder="1" applyFont="1"/>
    <xf borderId="4" fillId="3" fontId="5" numFmtId="0" xfId="0" applyAlignment="1" applyBorder="1" applyFill="1" applyFont="1">
      <alignment shrinkToFit="0" vertical="bottom" wrapText="0"/>
    </xf>
    <xf borderId="5" fillId="3" fontId="5" numFmtId="164" xfId="0" applyAlignment="1" applyBorder="1" applyFont="1" applyNumberFormat="1">
      <alignment horizontal="center" shrinkToFit="0" vertical="bottom" wrapText="0"/>
    </xf>
    <xf borderId="4" fillId="4" fontId="5" numFmtId="0" xfId="0" applyAlignment="1" applyBorder="1" applyFill="1" applyFont="1">
      <alignment shrinkToFit="0" vertical="bottom" wrapText="0"/>
    </xf>
    <xf borderId="5" fillId="4" fontId="5" numFmtId="0" xfId="0" applyAlignment="1" applyBorder="1" applyFont="1">
      <alignment horizontal="center" shrinkToFit="0" vertical="bottom" wrapText="0"/>
    </xf>
    <xf borderId="5" fillId="3" fontId="5" numFmtId="0" xfId="0" applyAlignment="1" applyBorder="1" applyFont="1">
      <alignment horizontal="center" shrinkToFit="0" vertical="bottom" wrapText="0"/>
    </xf>
    <xf borderId="5" fillId="4" fontId="5" numFmtId="164" xfId="0" applyAlignment="1" applyBorder="1" applyFont="1" applyNumberFormat="1">
      <alignment horizontal="center" shrinkToFit="0" vertical="bottom" wrapText="0"/>
    </xf>
    <xf borderId="0" fillId="0" fontId="5" numFmtId="0" xfId="0" applyAlignment="1" applyFont="1">
      <alignment shrinkToFit="0" vertical="bottom" wrapText="0"/>
    </xf>
    <xf borderId="1" fillId="2" fontId="1" numFmtId="0" xfId="0" applyAlignment="1" applyBorder="1" applyFont="1">
      <alignment horizontal="center" readingOrder="0" shrinkToFit="0" vertical="center" wrapText="0"/>
    </xf>
    <xf borderId="4" fillId="2" fontId="6" numFmtId="0" xfId="0" applyAlignment="1" applyBorder="1" applyFont="1">
      <alignment horizontal="center" shrinkToFit="0" vertical="center" wrapText="1"/>
    </xf>
    <xf borderId="4" fillId="5" fontId="7" numFmtId="3" xfId="0" applyAlignment="1" applyBorder="1" applyFill="1" applyFont="1" applyNumberFormat="1">
      <alignment shrinkToFit="0" vertical="bottom" wrapText="0"/>
    </xf>
    <xf borderId="4" fillId="5" fontId="8" numFmtId="3" xfId="0" applyAlignment="1" applyBorder="1" applyFont="1" applyNumberFormat="1">
      <alignment shrinkToFit="0" vertical="bottom" wrapText="0"/>
    </xf>
    <xf borderId="4" fillId="5" fontId="7" numFmtId="165" xfId="0" applyAlignment="1" applyBorder="1" applyFont="1" applyNumberFormat="1">
      <alignment shrinkToFit="0" vertical="bottom" wrapText="0"/>
    </xf>
    <xf borderId="4" fillId="5" fontId="5" numFmtId="164" xfId="0" applyAlignment="1" applyBorder="1" applyFont="1" applyNumberFormat="1">
      <alignment shrinkToFit="0" vertical="bottom" wrapText="0"/>
    </xf>
    <xf borderId="4" fillId="3" fontId="5" numFmtId="164" xfId="0" applyAlignment="1" applyBorder="1" applyFont="1" applyNumberFormat="1">
      <alignment shrinkToFit="0" vertical="bottom" wrapText="0"/>
    </xf>
    <xf borderId="4" fillId="4" fontId="5" numFmtId="164" xfId="0" applyAlignment="1" applyBorder="1" applyFont="1" applyNumberFormat="1">
      <alignment shrinkToFit="0" vertical="bottom" wrapText="0"/>
    </xf>
    <xf borderId="4" fillId="6" fontId="6" numFmtId="0" xfId="0" applyAlignment="1" applyBorder="1" applyFill="1" applyFont="1">
      <alignment shrinkToFit="0" vertical="bottom" wrapText="0"/>
    </xf>
    <xf borderId="4" fillId="6" fontId="6" numFmtId="164" xfId="0" applyAlignment="1" applyBorder="1" applyFont="1" applyNumberFormat="1">
      <alignment shrinkToFit="0" vertical="bottom" wrapText="0"/>
    </xf>
    <xf borderId="4" fillId="3" fontId="5" numFmtId="3" xfId="0" applyAlignment="1" applyBorder="1" applyFont="1" applyNumberFormat="1">
      <alignment shrinkToFit="0" vertical="bottom" wrapText="0"/>
    </xf>
    <xf borderId="4" fillId="4" fontId="5" numFmtId="3" xfId="0" applyAlignment="1" applyBorder="1" applyFont="1" applyNumberFormat="1">
      <alignment shrinkToFit="0" vertical="bottom" wrapText="0"/>
    </xf>
    <xf borderId="5" fillId="6" fontId="6" numFmtId="0" xfId="0" applyAlignment="1" applyBorder="1" applyFont="1">
      <alignment shrinkToFit="0" vertical="bottom" wrapText="0"/>
    </xf>
    <xf borderId="7" fillId="0" fontId="2" numFmtId="0" xfId="0" applyBorder="1" applyFont="1"/>
    <xf borderId="5" fillId="3" fontId="5" numFmtId="164" xfId="0" applyAlignment="1" applyBorder="1" applyFont="1" applyNumberFormat="1">
      <alignment shrinkToFit="0" vertical="bottom" wrapText="0"/>
    </xf>
    <xf borderId="4" fillId="3" fontId="5" numFmtId="165" xfId="0" applyAlignment="1" applyBorder="1" applyFont="1" applyNumberFormat="1">
      <alignment shrinkToFit="0" vertical="bottom" wrapText="0"/>
    </xf>
    <xf borderId="5" fillId="4" fontId="5" numFmtId="164" xfId="0" applyAlignment="1" applyBorder="1" applyFont="1" applyNumberFormat="1">
      <alignment shrinkToFit="0" vertical="bottom" wrapText="0"/>
    </xf>
    <xf borderId="4" fillId="4" fontId="5" numFmtId="165" xfId="0" applyAlignment="1" applyBorder="1" applyFont="1" applyNumberFormat="1">
      <alignment shrinkToFit="0" vertical="bottom" wrapText="0"/>
    </xf>
    <xf borderId="5" fillId="3" fontId="5" numFmtId="0" xfId="0" applyAlignment="1" applyBorder="1" applyFont="1">
      <alignment shrinkToFit="0" vertical="bottom" wrapText="0"/>
    </xf>
    <xf borderId="0" fillId="0" fontId="4" numFmtId="0" xfId="0" applyAlignment="1" applyFont="1">
      <alignment shrinkToFit="0" vertical="bottom" wrapText="0"/>
    </xf>
    <xf borderId="0" fillId="0" fontId="5" numFmtId="0" xfId="0" applyAlignment="1" applyFont="1">
      <alignment shrinkToFit="0" vertical="top" wrapText="1"/>
    </xf>
    <xf borderId="4" fillId="3" fontId="5" numFmtId="0" xfId="0" applyAlignment="1" applyBorder="1" applyFont="1">
      <alignment shrinkToFit="0" vertical="top" wrapText="1"/>
    </xf>
    <xf borderId="4" fillId="4" fontId="5" numFmtId="0" xfId="0" applyAlignment="1" applyBorder="1" applyFont="1">
      <alignment shrinkToFit="0" vertical="top" wrapText="1"/>
    </xf>
    <xf borderId="4" fillId="3" fontId="5" numFmtId="0" xfId="0" applyAlignment="1" applyBorder="1" applyFont="1">
      <alignment horizontal="center" shrinkToFit="0" vertical="top" wrapText="1"/>
    </xf>
    <xf borderId="4" fillId="4" fontId="5" numFmtId="0" xfId="0" applyAlignment="1" applyBorder="1" applyFont="1">
      <alignment horizontal="center" shrinkToFit="0" vertical="top" wrapText="1"/>
    </xf>
    <xf borderId="5" fillId="4" fontId="5" numFmtId="0" xfId="0" applyAlignment="1" applyBorder="1" applyFont="1">
      <alignment shrinkToFit="0" vertical="bottom" wrapText="0"/>
    </xf>
    <xf borderId="4" fillId="4" fontId="8" numFmtId="0" xfId="0" applyAlignment="1" applyBorder="1" applyFont="1">
      <alignment shrinkToFit="0" vertical="bottom" wrapText="0"/>
    </xf>
    <xf borderId="8" fillId="0" fontId="5" numFmtId="0" xfId="0" applyAlignment="1" applyBorder="1" applyFont="1">
      <alignment shrinkToFit="0" vertical="top" wrapText="1"/>
    </xf>
    <xf borderId="9"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Presupuesto por categoría y zona (COP)</a:t>
            </a:r>
          </a:p>
        </c:rich>
      </c:tx>
      <c:overlay val="0"/>
    </c:title>
    <c:plotArea>
      <c:layout/>
      <c:barChart>
        <c:barDir val="col"/>
        <c:grouping val="stacked"/>
        <c:ser>
          <c:idx val="0"/>
          <c:order val="0"/>
          <c:tx>
            <c:v>Zona 1 · Bocagrande (COP)</c:v>
          </c:tx>
          <c:spPr>
            <a:solidFill>
              <a:srgbClr val="5B5E1F"/>
            </a:solidFill>
            <a:ln cmpd="sng">
              <a:noFill/>
            </a:ln>
          </c:spPr>
          <c:cat>
            <c:strRef>
              <c:f>Presupuesto!$B$5:$B$12</c:f>
            </c:strRef>
          </c:cat>
          <c:val>
            <c:numRef>
              <c:f>Presupuesto!$C$5:$C$12</c:f>
              <c:numCache/>
            </c:numRef>
          </c:val>
        </c:ser>
        <c:ser>
          <c:idx val="1"/>
          <c:order val="1"/>
          <c:tx>
            <c:v>Zona 2 · La Boquilla (COP)</c:v>
          </c:tx>
          <c:spPr>
            <a:solidFill>
              <a:srgbClr val="9CAF54"/>
            </a:solidFill>
            <a:ln cmpd="sng">
              <a:noFill/>
            </a:ln>
          </c:spPr>
          <c:cat>
            <c:strRef>
              <c:f>Presupuesto!$B$5:$B$12</c:f>
            </c:strRef>
          </c:cat>
          <c:val>
            <c:numRef>
              <c:f>Presupuesto!$D$5:$D$12</c:f>
              <c:numCache/>
            </c:numRef>
          </c:val>
        </c:ser>
        <c:overlap val="100"/>
        <c:axId val="1940478801"/>
        <c:axId val="315701621"/>
      </c:barChart>
      <c:catAx>
        <c:axId val="1940478801"/>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Categoría de gasto</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315701621"/>
      </c:catAx>
      <c:valAx>
        <c:axId val="315701621"/>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COP</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Calibri"/>
              </a:defRPr>
            </a:pPr>
          </a:p>
        </c:txPr>
        <c:crossAx val="1940478801"/>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Participación del presupuesto por zona</a:t>
            </a:r>
          </a:p>
        </c:rich>
      </c:tx>
      <c:overlay val="0"/>
    </c:title>
    <c:plotArea>
      <c:layout/>
      <c:pieChart>
        <c:varyColors val="1"/>
        <c:ser>
          <c:idx val="0"/>
          <c:order val="0"/>
          <c:tx>
            <c:strRef>
              <c:f>Distribucion!$C$4</c:f>
            </c:strRef>
          </c:tx>
          <c:dPt>
            <c:idx val="0"/>
            <c:spPr>
              <a:solidFill>
                <a:srgbClr val="5B5E1F"/>
              </a:solidFill>
            </c:spPr>
          </c:dPt>
          <c:dPt>
            <c:idx val="1"/>
            <c:spPr>
              <a:solidFill>
                <a:srgbClr val="9CAF54"/>
              </a:solidFill>
            </c:spPr>
          </c:dPt>
          <c:dLbls>
            <c:dLbl>
              <c:idx val="0"/>
              <c:txPr>
                <a:bodyPr/>
                <a:lstStyle/>
                <a:p>
                  <a:pPr lvl="0">
                    <a:defRPr b="0" i="0" sz="1000">
                      <a:solidFill>
                        <a:srgbClr val="000000"/>
                      </a:solidFill>
                      <a:latin typeface="Calibri"/>
                    </a:defRPr>
                  </a:pPr>
                </a:p>
              </c:txPr>
              <c:showLegendKey val="0"/>
              <c:showVal val="0"/>
              <c:showCatName val="0"/>
              <c:showSerName val="0"/>
              <c:showPercent val="0"/>
              <c:showBubbleSize val="0"/>
            </c:dLbl>
            <c:dLbl>
              <c:idx val="1"/>
              <c:txPr>
                <a:bodyPr/>
                <a:lstStyle/>
                <a:p>
                  <a:pPr lvl="0">
                    <a:defRPr b="0" i="0" sz="1000">
                      <a:solidFill>
                        <a:srgbClr val="000000"/>
                      </a:solidFill>
                      <a:latin typeface="Calibri"/>
                    </a:defRPr>
                  </a:pPr>
                </a:p>
              </c:txPr>
              <c:showLegendKey val="0"/>
              <c:showVal val="0"/>
              <c:showCatName val="0"/>
              <c:showSerName val="0"/>
              <c:showPercent val="0"/>
              <c:showBubbleSize val="0"/>
            </c:dLbl>
            <c:showLegendKey val="0"/>
            <c:showVal val="0"/>
            <c:showCatName val="0"/>
            <c:showSerName val="0"/>
            <c:showPercent val="0"/>
            <c:showBubbleSize val="0"/>
            <c:showLeaderLines val="1"/>
          </c:dLbls>
          <c:cat>
            <c:strRef>
              <c:f>Distribucion!$B$5:$B$6</c:f>
            </c:strRef>
          </c:cat>
          <c:val>
            <c:numRef>
              <c:f>Distribucion!$C$5:$C$6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Participación del presupuesto por categoría</a:t>
            </a:r>
          </a:p>
        </c:rich>
      </c:tx>
      <c:overlay val="0"/>
    </c:title>
    <c:plotArea>
      <c:layout/>
      <c:pieChart>
        <c:varyColors val="1"/>
        <c:ser>
          <c:idx val="0"/>
          <c:order val="0"/>
          <c:tx>
            <c:strRef>
              <c:f>Distribucion!$F$4</c:f>
            </c:strRef>
          </c:tx>
          <c:dPt>
            <c:idx val="0"/>
            <c:spPr>
              <a:solidFill>
                <a:srgbClr val="5B5E1F"/>
              </a:solidFill>
            </c:spPr>
          </c:dPt>
          <c:dPt>
            <c:idx val="1"/>
            <c:spPr>
              <a:solidFill>
                <a:srgbClr val="7C7F3A"/>
              </a:solidFill>
            </c:spPr>
          </c:dPt>
          <c:dPt>
            <c:idx val="2"/>
            <c:spPr>
              <a:solidFill>
                <a:srgbClr val="9CAF54"/>
              </a:solidFill>
            </c:spPr>
          </c:dPt>
          <c:dPt>
            <c:idx val="3"/>
            <c:spPr>
              <a:solidFill>
                <a:srgbClr val="B7BE7A"/>
              </a:solidFill>
            </c:spPr>
          </c:dPt>
          <c:dPt>
            <c:idx val="4"/>
            <c:spPr>
              <a:solidFill>
                <a:srgbClr val="C9CE9C"/>
              </a:solidFill>
            </c:spPr>
          </c:dPt>
          <c:dPt>
            <c:idx val="5"/>
            <c:spPr>
              <a:solidFill>
                <a:srgbClr val="D9DEB0"/>
              </a:solidFill>
            </c:spPr>
          </c:dPt>
          <c:dPt>
            <c:idx val="6"/>
            <c:spPr>
              <a:solidFill>
                <a:srgbClr val="AEB489"/>
              </a:solidFill>
            </c:spPr>
          </c:dPt>
          <c:dPt>
            <c:idx val="7"/>
            <c:spPr>
              <a:solidFill>
                <a:srgbClr val="838650"/>
              </a:solidFill>
            </c:spPr>
          </c:dPt>
          <c:dLbls>
            <c:dLbl>
              <c:idx val="0"/>
              <c:txPr>
                <a:bodyPr/>
                <a:lstStyle/>
                <a:p>
                  <a:pPr lvl="0">
                    <a:defRPr b="0" i="0" sz="1000">
                      <a:solidFill>
                        <a:srgbClr val="000000"/>
                      </a:solidFill>
                      <a:latin typeface="Calibri"/>
                    </a:defRPr>
                  </a:pPr>
                </a:p>
              </c:txPr>
              <c:showLegendKey val="0"/>
              <c:showVal val="0"/>
              <c:showCatName val="0"/>
              <c:showSerName val="0"/>
              <c:showPercent val="0"/>
              <c:showBubbleSize val="0"/>
            </c:dLbl>
            <c:dLbl>
              <c:idx val="1"/>
              <c:txPr>
                <a:bodyPr/>
                <a:lstStyle/>
                <a:p>
                  <a:pPr lvl="0">
                    <a:defRPr b="0" i="0" sz="1000">
                      <a:solidFill>
                        <a:srgbClr val="000000"/>
                      </a:solidFill>
                      <a:latin typeface="Calibri"/>
                    </a:defRPr>
                  </a:pPr>
                </a:p>
              </c:txPr>
              <c:showLegendKey val="0"/>
              <c:showVal val="0"/>
              <c:showCatName val="0"/>
              <c:showSerName val="0"/>
              <c:showPercent val="0"/>
              <c:showBubbleSize val="0"/>
            </c:dLbl>
            <c:dLbl>
              <c:idx val="2"/>
              <c:txPr>
                <a:bodyPr/>
                <a:lstStyle/>
                <a:p>
                  <a:pPr lvl="0">
                    <a:defRPr b="0" i="0" sz="1000">
                      <a:solidFill>
                        <a:srgbClr val="000000"/>
                      </a:solidFill>
                      <a:latin typeface="Calibri"/>
                    </a:defRPr>
                  </a:pPr>
                </a:p>
              </c:txPr>
              <c:showLegendKey val="0"/>
              <c:showVal val="0"/>
              <c:showCatName val="0"/>
              <c:showSerName val="0"/>
              <c:showPercent val="0"/>
              <c:showBubbleSize val="0"/>
            </c:dLbl>
            <c:dLbl>
              <c:idx val="3"/>
              <c:txPr>
                <a:bodyPr/>
                <a:lstStyle/>
                <a:p>
                  <a:pPr lvl="0">
                    <a:defRPr b="0" i="0" sz="1000">
                      <a:solidFill>
                        <a:srgbClr val="000000"/>
                      </a:solidFill>
                      <a:latin typeface="Calibri"/>
                    </a:defRPr>
                  </a:pPr>
                </a:p>
              </c:txPr>
              <c:showLegendKey val="0"/>
              <c:showVal val="0"/>
              <c:showCatName val="0"/>
              <c:showSerName val="0"/>
              <c:showPercent val="0"/>
              <c:showBubbleSize val="0"/>
            </c:dLbl>
            <c:dLbl>
              <c:idx val="4"/>
              <c:txPr>
                <a:bodyPr/>
                <a:lstStyle/>
                <a:p>
                  <a:pPr lvl="0">
                    <a:defRPr b="0" i="0" sz="1000">
                      <a:solidFill>
                        <a:srgbClr val="000000"/>
                      </a:solidFill>
                      <a:latin typeface="Calibri"/>
                    </a:defRPr>
                  </a:pPr>
                </a:p>
              </c:txPr>
              <c:showLegendKey val="0"/>
              <c:showVal val="0"/>
              <c:showCatName val="0"/>
              <c:showSerName val="0"/>
              <c:showPercent val="0"/>
              <c:showBubbleSize val="0"/>
            </c:dLbl>
            <c:dLbl>
              <c:idx val="5"/>
              <c:txPr>
                <a:bodyPr/>
                <a:lstStyle/>
                <a:p>
                  <a:pPr lvl="0">
                    <a:defRPr b="0" i="0" sz="1000">
                      <a:solidFill>
                        <a:srgbClr val="000000"/>
                      </a:solidFill>
                      <a:latin typeface="Calibri"/>
                    </a:defRPr>
                  </a:pPr>
                </a:p>
              </c:txPr>
              <c:showLegendKey val="0"/>
              <c:showVal val="0"/>
              <c:showCatName val="0"/>
              <c:showSerName val="0"/>
              <c:showPercent val="0"/>
              <c:showBubbleSize val="0"/>
            </c:dLbl>
            <c:dLbl>
              <c:idx val="6"/>
              <c:txPr>
                <a:bodyPr/>
                <a:lstStyle/>
                <a:p>
                  <a:pPr lvl="0">
                    <a:defRPr b="0" i="0" sz="1000">
                      <a:solidFill>
                        <a:srgbClr val="000000"/>
                      </a:solidFill>
                      <a:latin typeface="Calibri"/>
                    </a:defRPr>
                  </a:pPr>
                </a:p>
              </c:txPr>
              <c:showLegendKey val="0"/>
              <c:showVal val="0"/>
              <c:showCatName val="0"/>
              <c:showSerName val="0"/>
              <c:showPercent val="0"/>
              <c:showBubbleSize val="0"/>
            </c:dLbl>
            <c:dLbl>
              <c:idx val="7"/>
              <c:txPr>
                <a:bodyPr/>
                <a:lstStyle/>
                <a:p>
                  <a:pPr lvl="0">
                    <a:defRPr b="0" i="0" sz="1000">
                      <a:solidFill>
                        <a:srgbClr val="000000"/>
                      </a:solidFill>
                      <a:latin typeface="Calibri"/>
                    </a:defRPr>
                  </a:pPr>
                </a:p>
              </c:txPr>
              <c:showLegendKey val="0"/>
              <c:showVal val="0"/>
              <c:showCatName val="0"/>
              <c:showSerName val="0"/>
              <c:showPercent val="0"/>
              <c:showBubbleSize val="0"/>
            </c:dLbl>
            <c:showLegendKey val="0"/>
            <c:showVal val="0"/>
            <c:showCatName val="0"/>
            <c:showSerName val="0"/>
            <c:showPercent val="0"/>
            <c:showBubbleSize val="0"/>
            <c:showLeaderLines val="1"/>
          </c:dLbls>
          <c:cat>
            <c:strRef>
              <c:f>Distribucion!$E$5:$E$12</c:f>
            </c:strRef>
          </c:cat>
          <c:val>
            <c:numRef>
              <c:f>Distribucion!$F$5:$F$12</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Valor turístico estimado por zona y temporada (COP)</a:t>
            </a:r>
          </a:p>
        </c:rich>
      </c:tx>
      <c:overlay val="0"/>
    </c:title>
    <c:plotArea>
      <c:layout/>
      <c:barChart>
        <c:barDir val="col"/>
        <c:ser>
          <c:idx val="0"/>
          <c:order val="0"/>
          <c:tx>
            <c:v>Valor turístico estimado (COP)</c:v>
          </c:tx>
          <c:spPr>
            <a:solidFill>
              <a:srgbClr val="5B5E1F"/>
            </a:solidFill>
            <a:ln cmpd="sng">
              <a:noFill/>
            </a:ln>
          </c:spPr>
          <c:cat>
            <c:strRef>
              <c:f>Ingresos_Temporada!$B$5:$B$8</c:f>
            </c:strRef>
          </c:cat>
          <c:val>
            <c:numRef>
              <c:f>Ingresos_Temporada!$C$5:$C$8</c:f>
              <c:numCache/>
            </c:numRef>
          </c:val>
        </c:ser>
        <c:ser>
          <c:idx val="1"/>
          <c:order val="1"/>
          <c:tx>
            <c:strRef>
              <c:f>Ingresos_Temporada!$G$4</c:f>
            </c:strRef>
          </c:tx>
          <c:cat>
            <c:strRef>
              <c:f>Ingresos_Temporada!$B$5:$B$8</c:f>
            </c:strRef>
          </c:cat>
          <c:val>
            <c:numRef>
              <c:f>Ingresos_Temporada!$G$5:$G$8</c:f>
              <c:numCache/>
            </c:numRef>
          </c:val>
        </c:ser>
        <c:axId val="576276700"/>
        <c:axId val="645921423"/>
      </c:barChart>
      <c:catAx>
        <c:axId val="576276700"/>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Zona / Temporada</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645921423"/>
      </c:catAx>
      <c:valAx>
        <c:axId val="645921423"/>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COP</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Calibri"/>
              </a:defRPr>
            </a:pPr>
          </a:p>
        </c:txPr>
        <c:crossAx val="576276700"/>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13</xdr:row>
      <xdr:rowOff>57150</xdr:rowOff>
    </xdr:from>
    <xdr:ext cx="8191500" cy="378142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12</xdr:row>
      <xdr:rowOff>57150</xdr:rowOff>
    </xdr:from>
    <xdr:ext cx="4829175" cy="3400425"/>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0</xdr:colOff>
      <xdr:row>12</xdr:row>
      <xdr:rowOff>57150</xdr:rowOff>
    </xdr:from>
    <xdr:ext cx="5838825" cy="3400425"/>
    <xdr:graphicFrame>
      <xdr:nvGraphicFramePr>
        <xdr:cNvPr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10</xdr:row>
      <xdr:rowOff>57150</xdr:rowOff>
    </xdr:from>
    <xdr:ext cx="8562975" cy="3781425"/>
    <xdr:graphicFrame>
      <xdr:nvGraphicFramePr>
        <xdr:cNvPr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b="0" l="0" r="0" t="0"/>
        </a:gradFill>
        <a:gradFill>
          <a:gsLst>
            <a:gs pos="0">
              <a:schemeClr val="phClr">
                <a:shade val="51000"/>
              </a:schemeClr>
            </a:gs>
            <a:gs pos="80000">
              <a:schemeClr val="phClr">
                <a:shade val="93000"/>
              </a:schemeClr>
            </a:gs>
            <a:gs pos="100000">
              <a:schemeClr val="phClr">
                <a:shade val="94000"/>
              </a:schemeClr>
            </a:gs>
          </a:gsLst>
          <a:lin ang="16200000" scaled="0"/>
          <a:tileRect b="0" l="0" r="0" t="0"/>
        </a:gradFill>
      </a:fillStyleLst>
      <a:lnStyleLst>
        <a:ln cap="flat" cmpd="sng" w="9525" algn="ctr">
          <a:prstDash val="solid"/>
        </a:ln>
        <a:ln cap="flat" cmpd="sng" w="25400" algn="ctr">
          <a:prstDash val="solid"/>
        </a:ln>
        <a:ln cap="flat" cmpd="sng" w="38100"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b="180000" l="50000" r="50000" t="-80000"/>
          </a:path>
          <a:tileRect b="0" l="0" r="0" t="0"/>
        </a:gradFill>
        <a:gradFill>
          <a:gsLst>
            <a:gs pos="0">
              <a:schemeClr val="phClr">
                <a:tint val="80000"/>
              </a:schemeClr>
            </a:gs>
            <a:gs pos="100000">
              <a:schemeClr val="phClr">
                <a:shade val="30000"/>
              </a:schemeClr>
            </a:gs>
          </a:gsLst>
          <a:path path="circle">
            <a:fillToRect b="50000" l="50000" r="50000" t="50000"/>
          </a:path>
          <a:tileRect b="0" l="0" r="0" t="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0.0"/>
    <col customWidth="1" min="3" max="6" width="20.0"/>
    <col customWidth="1" min="7" max="11" width="8.71"/>
  </cols>
  <sheetData>
    <row r="1" ht="36.0" customHeight="1">
      <c r="A1" s="1" t="s">
        <v>0</v>
      </c>
      <c r="B1" s="2"/>
      <c r="C1" s="2"/>
      <c r="D1" s="2"/>
      <c r="E1" s="2"/>
      <c r="F1" s="3"/>
    </row>
    <row r="2">
      <c r="A2" s="4" t="s">
        <v>1</v>
      </c>
    </row>
    <row r="4">
      <c r="B4" s="5" t="s">
        <v>2</v>
      </c>
      <c r="C4" s="2"/>
      <c r="D4" s="2"/>
      <c r="E4" s="2"/>
      <c r="F4" s="3"/>
    </row>
    <row r="5" ht="19.5" customHeight="1">
      <c r="B5" s="6" t="s">
        <v>3</v>
      </c>
    </row>
    <row r="10">
      <c r="B10" s="5" t="s">
        <v>4</v>
      </c>
      <c r="C10" s="2"/>
      <c r="D10" s="2"/>
      <c r="E10" s="2"/>
      <c r="F10" s="3"/>
    </row>
    <row r="11">
      <c r="B11" s="7" t="s">
        <v>5</v>
      </c>
      <c r="C11" s="8" t="s">
        <v>6</v>
      </c>
      <c r="D11" s="9"/>
    </row>
    <row r="12">
      <c r="B12" s="10" t="s">
        <v>7</v>
      </c>
      <c r="C12" s="11" t="str">
        <f>Presupuesto!$E$13</f>
        <v>$12,000,000</v>
      </c>
      <c r="D12" s="9"/>
    </row>
    <row r="13">
      <c r="B13" s="12" t="s">
        <v>8</v>
      </c>
      <c r="C13" s="13">
        <v>2.0</v>
      </c>
      <c r="D13" s="9"/>
    </row>
    <row r="14">
      <c r="B14" s="10" t="s">
        <v>9</v>
      </c>
      <c r="C14" s="14" t="s">
        <v>10</v>
      </c>
      <c r="D14" s="9"/>
    </row>
    <row r="15">
      <c r="B15" s="12" t="s">
        <v>11</v>
      </c>
      <c r="C15" s="13" t="s">
        <v>12</v>
      </c>
      <c r="D15" s="9"/>
    </row>
    <row r="16">
      <c r="B16" s="10" t="s">
        <v>13</v>
      </c>
      <c r="C16" s="11" t="str">
        <f>Presupuesto!$C$13</f>
        <v>$6,865,000</v>
      </c>
      <c r="D16" s="9"/>
    </row>
    <row r="17">
      <c r="B17" s="12" t="s">
        <v>14</v>
      </c>
      <c r="C17" s="15" t="str">
        <f>Presupuesto!$D$13</f>
        <v>$5,135,000</v>
      </c>
      <c r="D17" s="9"/>
    </row>
    <row r="18">
      <c r="B18" s="10" t="s">
        <v>15</v>
      </c>
      <c r="C18" s="11" t="str">
        <f>Ingresos_Temporada!$G$5+Ingresos_Temporada!$G$7</f>
        <v>$127,420,312,500</v>
      </c>
      <c r="D18" s="9"/>
    </row>
    <row r="19">
      <c r="B19" s="12" t="s">
        <v>16</v>
      </c>
      <c r="C19" s="15" t="str">
        <f>Ingresos_Temporada!$G$6+Ingresos_Temporada!$G$8</f>
        <v>$154,980,000,000</v>
      </c>
      <c r="D19" s="9"/>
    </row>
    <row r="21" ht="15.75" customHeight="1">
      <c r="B21" s="5" t="s">
        <v>17</v>
      </c>
      <c r="C21" s="2"/>
      <c r="D21" s="2"/>
      <c r="E21" s="2"/>
      <c r="F21" s="3"/>
    </row>
    <row r="22" ht="15.75" customHeight="1">
      <c r="B22" s="16" t="s">
        <v>18</v>
      </c>
    </row>
    <row r="23" ht="15.75" customHeight="1">
      <c r="B23" s="16" t="s">
        <v>19</v>
      </c>
    </row>
    <row r="24" ht="15.75" customHeight="1">
      <c r="B24" s="16" t="s">
        <v>20</v>
      </c>
    </row>
    <row r="25" ht="15.75" customHeight="1">
      <c r="B25" s="16" t="s">
        <v>21</v>
      </c>
    </row>
    <row r="26" ht="15.75" customHeight="1">
      <c r="B26" s="16" t="s">
        <v>22</v>
      </c>
    </row>
    <row r="27" ht="15.75" customHeight="1">
      <c r="B27" s="16" t="s">
        <v>23</v>
      </c>
    </row>
    <row r="28" ht="15.75" customHeight="1">
      <c r="B28" s="16" t="s">
        <v>24</v>
      </c>
    </row>
    <row r="29" ht="15.75" customHeight="1">
      <c r="B29" s="16" t="s">
        <v>25</v>
      </c>
    </row>
    <row r="30" ht="15.75" customHeight="1">
      <c r="B30" s="16" t="s">
        <v>26</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24">
    <mergeCell ref="A1:F1"/>
    <mergeCell ref="A2:F2"/>
    <mergeCell ref="B4:F4"/>
    <mergeCell ref="B5:F8"/>
    <mergeCell ref="B10:F10"/>
    <mergeCell ref="C11:D11"/>
    <mergeCell ref="C12:D12"/>
    <mergeCell ref="C13:D13"/>
    <mergeCell ref="C14:D14"/>
    <mergeCell ref="C15:D15"/>
    <mergeCell ref="C16:D16"/>
    <mergeCell ref="C17:D17"/>
    <mergeCell ref="C18:D18"/>
    <mergeCell ref="C19:D19"/>
    <mergeCell ref="B28:F28"/>
    <mergeCell ref="B29:F29"/>
    <mergeCell ref="B30:F30"/>
    <mergeCell ref="B21:F21"/>
    <mergeCell ref="B22:F22"/>
    <mergeCell ref="B23:F23"/>
    <mergeCell ref="B24:F24"/>
    <mergeCell ref="B25:F25"/>
    <mergeCell ref="B26:F26"/>
    <mergeCell ref="B27:F27"/>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42.0"/>
    <col customWidth="1" min="3" max="3" width="18.0"/>
    <col customWidth="1" min="4" max="4" width="46.0"/>
    <col customWidth="1" min="5" max="5" width="3.0"/>
    <col customWidth="1" min="6" max="11" width="8.71"/>
  </cols>
  <sheetData>
    <row r="1" ht="31.5" customHeight="1">
      <c r="A1" s="17" t="s">
        <v>27</v>
      </c>
      <c r="B1" s="2"/>
      <c r="C1" s="2"/>
      <c r="D1" s="3"/>
    </row>
    <row r="2">
      <c r="A2" s="4" t="s">
        <v>28</v>
      </c>
    </row>
    <row r="4">
      <c r="B4" s="18" t="s">
        <v>29</v>
      </c>
      <c r="C4" s="18" t="s">
        <v>6</v>
      </c>
      <c r="D4" s="18" t="s">
        <v>30</v>
      </c>
    </row>
    <row r="5">
      <c r="B5" s="10" t="s">
        <v>31</v>
      </c>
      <c r="C5" s="19">
        <v>1300000.0</v>
      </c>
      <c r="D5" s="10" t="s">
        <v>32</v>
      </c>
    </row>
    <row r="6">
      <c r="B6" s="12" t="s">
        <v>33</v>
      </c>
      <c r="C6" s="19">
        <v>32.0</v>
      </c>
      <c r="D6" s="12" t="s">
        <v>34</v>
      </c>
    </row>
    <row r="7">
      <c r="B7" s="10" t="s">
        <v>35</v>
      </c>
      <c r="C7" s="19">
        <v>5500000.0</v>
      </c>
      <c r="D7" s="10" t="s">
        <v>36</v>
      </c>
    </row>
    <row r="8">
      <c r="B8" s="12" t="s">
        <v>37</v>
      </c>
      <c r="C8" s="19">
        <v>185000.0</v>
      </c>
      <c r="D8" s="12" t="s">
        <v>38</v>
      </c>
    </row>
    <row r="9">
      <c r="B9" s="10" t="s">
        <v>39</v>
      </c>
      <c r="C9" s="19">
        <v>85.0</v>
      </c>
      <c r="D9" s="10" t="s">
        <v>40</v>
      </c>
    </row>
    <row r="10">
      <c r="B10" s="12" t="s">
        <v>41</v>
      </c>
      <c r="C10" s="20" t="str">
        <f>365-C9</f>
        <v>280</v>
      </c>
      <c r="D10" s="12" t="s">
        <v>42</v>
      </c>
    </row>
    <row r="11">
      <c r="B11" s="10" t="s">
        <v>43</v>
      </c>
      <c r="C11" s="21">
        <v>0.18</v>
      </c>
      <c r="D11" s="10" t="s">
        <v>44</v>
      </c>
    </row>
    <row r="12">
      <c r="B12" s="12" t="s">
        <v>45</v>
      </c>
      <c r="C12" s="21">
        <v>0.04</v>
      </c>
      <c r="D12" s="12" t="s">
        <v>46</v>
      </c>
    </row>
    <row r="13">
      <c r="B13" s="10" t="s">
        <v>47</v>
      </c>
      <c r="C13" s="19">
        <v>90000.0</v>
      </c>
      <c r="D13" s="10" t="s">
        <v>48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2">
    <mergeCell ref="A1:D1"/>
    <mergeCell ref="A2:D2"/>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8.0"/>
    <col customWidth="1" min="3" max="5" width="20.0"/>
    <col customWidth="1" min="6" max="6" width="3.0"/>
    <col customWidth="1" min="7" max="11" width="8.71"/>
  </cols>
  <sheetData>
    <row r="1" ht="31.5" customHeight="1">
      <c r="A1" s="1" t="s">
        <v>49</v>
      </c>
      <c r="B1" s="2"/>
      <c r="C1" s="2"/>
      <c r="D1" s="2"/>
      <c r="E1" s="3"/>
    </row>
    <row r="2">
      <c r="A2" s="4" t="s">
        <v>50</v>
      </c>
    </row>
    <row r="4">
      <c r="B4" s="18" t="s">
        <v>51</v>
      </c>
      <c r="C4" s="18" t="s">
        <v>52</v>
      </c>
      <c r="D4" s="18" t="s">
        <v>53</v>
      </c>
      <c r="E4" s="18" t="s">
        <v>54</v>
      </c>
    </row>
    <row r="5">
      <c r="B5" s="10" t="s">
        <v>55</v>
      </c>
      <c r="C5" s="22">
        <v>2400000.0</v>
      </c>
      <c r="D5" s="22">
        <v>1600000.0</v>
      </c>
      <c r="E5" s="23" t="str">
        <f t="shared" ref="E5:E12" si="1">C5+D5</f>
        <v>$4,000,000</v>
      </c>
    </row>
    <row r="6">
      <c r="B6" s="12" t="s">
        <v>56</v>
      </c>
      <c r="C6" s="22">
        <v>1320000.0</v>
      </c>
      <c r="D6" s="22">
        <v>880000.0</v>
      </c>
      <c r="E6" s="24" t="str">
        <f t="shared" si="1"/>
        <v>$2,200,000</v>
      </c>
    </row>
    <row r="7">
      <c r="B7" s="10" t="s">
        <v>57</v>
      </c>
      <c r="C7" s="22">
        <v>650000.0</v>
      </c>
      <c r="D7" s="22">
        <v>650000.0</v>
      </c>
      <c r="E7" s="23" t="str">
        <f t="shared" si="1"/>
        <v>$1,300,000</v>
      </c>
    </row>
    <row r="8">
      <c r="B8" s="12" t="s">
        <v>58</v>
      </c>
      <c r="C8" s="22">
        <v>660000.0</v>
      </c>
      <c r="D8" s="22">
        <v>540000.0</v>
      </c>
      <c r="E8" s="24" t="str">
        <f t="shared" si="1"/>
        <v>$1,200,000</v>
      </c>
    </row>
    <row r="9">
      <c r="B9" s="10" t="s">
        <v>59</v>
      </c>
      <c r="C9" s="22">
        <v>495000.0</v>
      </c>
      <c r="D9" s="22">
        <v>405000.0</v>
      </c>
      <c r="E9" s="23" t="str">
        <f t="shared" si="1"/>
        <v>$900,000</v>
      </c>
    </row>
    <row r="10">
      <c r="B10" s="12" t="s">
        <v>60</v>
      </c>
      <c r="C10" s="22">
        <v>840000.0</v>
      </c>
      <c r="D10" s="22">
        <v>560000.0</v>
      </c>
      <c r="E10" s="24" t="str">
        <f t="shared" si="1"/>
        <v>$1,400,000</v>
      </c>
    </row>
    <row r="11">
      <c r="B11" s="10" t="s">
        <v>61</v>
      </c>
      <c r="C11" s="22">
        <v>300000.0</v>
      </c>
      <c r="D11" s="22">
        <v>300000.0</v>
      </c>
      <c r="E11" s="23" t="str">
        <f t="shared" si="1"/>
        <v>$600,000</v>
      </c>
    </row>
    <row r="12">
      <c r="B12" s="12" t="s">
        <v>62</v>
      </c>
      <c r="C12" s="22">
        <v>200000.0</v>
      </c>
      <c r="D12" s="22">
        <v>200000.0</v>
      </c>
      <c r="E12" s="24" t="str">
        <f t="shared" si="1"/>
        <v>$400,000</v>
      </c>
    </row>
    <row r="13">
      <c r="B13" s="25" t="s">
        <v>63</v>
      </c>
      <c r="C13" s="26" t="str">
        <f t="shared" ref="C13:E13" si="2">SUM(C5:C12)</f>
        <v>$6,865,000</v>
      </c>
      <c r="D13" s="26" t="str">
        <f t="shared" si="2"/>
        <v>$5,135,000</v>
      </c>
      <c r="E13" s="26" t="str">
        <f t="shared" si="2"/>
        <v>$12,000,000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2">
    <mergeCell ref="A1:E1"/>
    <mergeCell ref="A2:E2"/>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14.0"/>
    <col customWidth="1" min="3" max="3" width="34.0"/>
    <col customWidth="1" min="4" max="4" width="12.0"/>
    <col customWidth="1" min="5" max="6" width="16.0"/>
    <col customWidth="1" min="7" max="7" width="14.0"/>
    <col customWidth="1" min="8" max="8" width="16.0"/>
    <col customWidth="1" min="9" max="11" width="8.71"/>
  </cols>
  <sheetData>
    <row r="1" ht="33.75" customHeight="1">
      <c r="A1" s="1" t="s">
        <v>64</v>
      </c>
      <c r="B1" s="2"/>
      <c r="C1" s="2"/>
      <c r="D1" s="2"/>
      <c r="E1" s="2"/>
      <c r="F1" s="2"/>
      <c r="G1" s="2"/>
      <c r="H1" s="3"/>
    </row>
    <row r="2">
      <c r="A2" s="4" t="s">
        <v>65</v>
      </c>
    </row>
    <row r="4">
      <c r="B4" s="5" t="s">
        <v>66</v>
      </c>
      <c r="C4" s="2"/>
      <c r="D4" s="2"/>
      <c r="E4" s="2"/>
      <c r="F4" s="2"/>
      <c r="G4" s="2"/>
      <c r="H4" s="3"/>
    </row>
    <row r="5">
      <c r="B5" s="18" t="s">
        <v>67</v>
      </c>
      <c r="C5" s="18" t="s">
        <v>68</v>
      </c>
      <c r="D5" s="18" t="s">
        <v>69</v>
      </c>
      <c r="E5" s="18" t="s">
        <v>70</v>
      </c>
      <c r="F5" s="18" t="s">
        <v>71</v>
      </c>
      <c r="G5" s="18" t="s">
        <v>72</v>
      </c>
      <c r="H5" s="18" t="s">
        <v>73</v>
      </c>
    </row>
    <row r="6">
      <c r="B6" s="10" t="s">
        <v>74</v>
      </c>
      <c r="C6" s="10" t="s">
        <v>55</v>
      </c>
      <c r="D6" s="10" t="s">
        <v>75</v>
      </c>
      <c r="E6" s="23" t="str">
        <f>Presupuesto!E5</f>
        <v>$4,000,000</v>
      </c>
      <c r="F6" s="10" t="s">
        <v>76</v>
      </c>
      <c r="G6" s="27">
        <v>36.0</v>
      </c>
      <c r="H6" s="23" t="str">
        <f t="shared" ref="H6:H8" si="1">E6/G6</f>
        <v>$111,111</v>
      </c>
    </row>
    <row r="7">
      <c r="B7" s="12" t="s">
        <v>77</v>
      </c>
      <c r="C7" s="12" t="s">
        <v>56</v>
      </c>
      <c r="D7" s="12" t="s">
        <v>75</v>
      </c>
      <c r="E7" s="24" t="str">
        <f>Presupuesto!E6</f>
        <v>$2,200,000</v>
      </c>
      <c r="F7" s="12" t="s">
        <v>76</v>
      </c>
      <c r="G7" s="28">
        <v>24.0</v>
      </c>
      <c r="H7" s="24" t="str">
        <f t="shared" si="1"/>
        <v>$91,667</v>
      </c>
    </row>
    <row r="8">
      <c r="B8" s="10" t="s">
        <v>78</v>
      </c>
      <c r="C8" s="10" t="s">
        <v>57</v>
      </c>
      <c r="D8" s="10" t="s">
        <v>75</v>
      </c>
      <c r="E8" s="23" t="str">
        <f>Presupuesto!E7</f>
        <v>$1,300,000</v>
      </c>
      <c r="F8" s="10" t="s">
        <v>76</v>
      </c>
      <c r="G8" s="27">
        <v>60.0</v>
      </c>
      <c r="H8" s="23" t="str">
        <f t="shared" si="1"/>
        <v>$21,667</v>
      </c>
    </row>
    <row r="9">
      <c r="B9" s="12" t="s">
        <v>79</v>
      </c>
      <c r="C9" s="12" t="s">
        <v>58</v>
      </c>
      <c r="D9" s="12" t="s">
        <v>80</v>
      </c>
      <c r="E9" s="24" t="str">
        <f>Presupuesto!E8</f>
        <v>$1,200,000</v>
      </c>
      <c r="F9" s="12" t="s">
        <v>81</v>
      </c>
      <c r="G9" s="12" t="s">
        <v>82</v>
      </c>
      <c r="H9" s="12" t="s">
        <v>83</v>
      </c>
    </row>
    <row r="10">
      <c r="B10" s="10" t="s">
        <v>84</v>
      </c>
      <c r="C10" s="10" t="s">
        <v>59</v>
      </c>
      <c r="D10" s="10" t="s">
        <v>80</v>
      </c>
      <c r="E10" s="23" t="str">
        <f>Presupuesto!E9</f>
        <v>$900,000</v>
      </c>
      <c r="F10" s="10" t="s">
        <v>81</v>
      </c>
      <c r="G10" s="10" t="s">
        <v>82</v>
      </c>
      <c r="H10" s="10" t="s">
        <v>83</v>
      </c>
    </row>
    <row r="11">
      <c r="B11" s="12" t="s">
        <v>85</v>
      </c>
      <c r="C11" s="12" t="s">
        <v>60</v>
      </c>
      <c r="D11" s="12" t="s">
        <v>80</v>
      </c>
      <c r="E11" s="24" t="str">
        <f>Presupuesto!E10</f>
        <v>$1,400,000</v>
      </c>
      <c r="F11" s="12" t="s">
        <v>81</v>
      </c>
      <c r="G11" s="12" t="s">
        <v>82</v>
      </c>
      <c r="H11" s="12" t="s">
        <v>83</v>
      </c>
    </row>
    <row r="12">
      <c r="B12" s="10" t="s">
        <v>86</v>
      </c>
      <c r="C12" s="10" t="s">
        <v>61</v>
      </c>
      <c r="D12" s="10" t="s">
        <v>80</v>
      </c>
      <c r="E12" s="23" t="str">
        <f>Presupuesto!E11</f>
        <v>$600,000</v>
      </c>
      <c r="F12" s="10" t="s">
        <v>81</v>
      </c>
      <c r="G12" s="10" t="s">
        <v>82</v>
      </c>
      <c r="H12" s="10" t="s">
        <v>83</v>
      </c>
    </row>
    <row r="13">
      <c r="B13" s="12" t="s">
        <v>87</v>
      </c>
      <c r="C13" s="12" t="s">
        <v>62</v>
      </c>
      <c r="D13" s="12" t="s">
        <v>80</v>
      </c>
      <c r="E13" s="24" t="str">
        <f>Presupuesto!E12</f>
        <v>$400,000</v>
      </c>
      <c r="F13" s="12" t="s">
        <v>81</v>
      </c>
      <c r="G13" s="12" t="s">
        <v>82</v>
      </c>
      <c r="H13" s="12" t="s">
        <v>83</v>
      </c>
    </row>
    <row r="14">
      <c r="B14" s="29" t="s">
        <v>63</v>
      </c>
      <c r="C14" s="30"/>
      <c r="D14" s="9"/>
      <c r="E14" s="26" t="str">
        <f>SUM(E6:E13)</f>
        <v>$12,000,000</v>
      </c>
      <c r="F14" s="25"/>
      <c r="G14" s="25"/>
      <c r="H14" s="25"/>
    </row>
    <row r="16">
      <c r="B16" s="5" t="s">
        <v>88</v>
      </c>
      <c r="C16" s="2"/>
      <c r="D16" s="2"/>
      <c r="E16" s="2"/>
      <c r="F16" s="2"/>
      <c r="G16" s="2"/>
      <c r="H16" s="3"/>
    </row>
    <row r="17">
      <c r="B17" s="7" t="s">
        <v>89</v>
      </c>
      <c r="C17" s="8" t="s">
        <v>70</v>
      </c>
      <c r="D17" s="9"/>
      <c r="E17" s="7" t="s">
        <v>90</v>
      </c>
    </row>
    <row r="18">
      <c r="B18" s="10" t="s">
        <v>91</v>
      </c>
      <c r="C18" s="31" t="str">
        <f>SUMIF(D6:D13,"Activo (CAPEX)",E6:E13)</f>
        <v>$7,500,000</v>
      </c>
      <c r="D18" s="9"/>
      <c r="E18" s="32" t="str">
        <f>C18/E14</f>
        <v>62.5%</v>
      </c>
    </row>
    <row r="19">
      <c r="B19" s="12" t="s">
        <v>92</v>
      </c>
      <c r="C19" s="33" t="str">
        <f>SUMIF(D6:D13,"Gasto (OPEX)",E6:E13)</f>
        <v>$4,500,000</v>
      </c>
      <c r="D19" s="9"/>
      <c r="E19" s="34" t="str">
        <f>C19/E14</f>
        <v>37.5%</v>
      </c>
    </row>
    <row r="21" ht="15.75" customHeight="1">
      <c r="B21" s="5" t="s">
        <v>93</v>
      </c>
      <c r="C21" s="2"/>
      <c r="D21" s="2"/>
      <c r="E21" s="2"/>
      <c r="F21" s="2"/>
      <c r="G21" s="2"/>
      <c r="H21" s="3"/>
    </row>
    <row r="22" ht="15.75" customHeight="1">
      <c r="B22" s="35" t="s">
        <v>94</v>
      </c>
      <c r="C22" s="30"/>
      <c r="D22" s="9"/>
      <c r="E22" s="23" t="str">
        <f>SUMIF(D6:D13,"Activo (CAPEX)",H6:H13)</f>
        <v>$224,444</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0">
    <mergeCell ref="C19:D19"/>
    <mergeCell ref="B21:H21"/>
    <mergeCell ref="B22:D22"/>
    <mergeCell ref="A1:H1"/>
    <mergeCell ref="A2:H2"/>
    <mergeCell ref="B4:H4"/>
    <mergeCell ref="B14:D14"/>
    <mergeCell ref="B16:H16"/>
    <mergeCell ref="C17:D17"/>
    <mergeCell ref="C18:D18"/>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2.0"/>
    <col customWidth="1" min="3" max="3" width="20.0"/>
    <col customWidth="1" min="4" max="4" width="3.0"/>
    <col customWidth="1" min="5" max="5" width="32.0"/>
    <col customWidth="1" min="6" max="6" width="20.0"/>
    <col customWidth="1" min="7" max="11" width="8.71"/>
  </cols>
  <sheetData>
    <row r="1" ht="31.5" customHeight="1">
      <c r="A1" s="1" t="s">
        <v>95</v>
      </c>
      <c r="B1" s="2"/>
      <c r="C1" s="2"/>
      <c r="D1" s="2"/>
      <c r="E1" s="2"/>
      <c r="F1" s="3"/>
    </row>
    <row r="2">
      <c r="A2" s="4" t="s">
        <v>96</v>
      </c>
    </row>
    <row r="4">
      <c r="B4" s="18" t="s">
        <v>97</v>
      </c>
      <c r="C4" s="18" t="s">
        <v>98</v>
      </c>
      <c r="E4" s="18" t="s">
        <v>68</v>
      </c>
      <c r="F4" s="18" t="s">
        <v>99</v>
      </c>
    </row>
    <row r="5">
      <c r="B5" s="10" t="s">
        <v>100</v>
      </c>
      <c r="C5" s="23" t="str">
        <f>Presupuesto!C13</f>
        <v>$6,865,000</v>
      </c>
      <c r="E5" s="10" t="s">
        <v>55</v>
      </c>
      <c r="F5" s="23" t="str">
        <f>Presupuesto!E5</f>
        <v>$4,000,000</v>
      </c>
    </row>
    <row r="6">
      <c r="B6" s="12" t="s">
        <v>101</v>
      </c>
      <c r="C6" s="24" t="str">
        <f>Presupuesto!D13</f>
        <v>$5,135,000</v>
      </c>
      <c r="E6" s="12" t="s">
        <v>56</v>
      </c>
      <c r="F6" s="24" t="str">
        <f>Presupuesto!E6</f>
        <v>$2,200,000</v>
      </c>
    </row>
    <row r="7">
      <c r="E7" s="10" t="s">
        <v>57</v>
      </c>
      <c r="F7" s="23" t="str">
        <f>Presupuesto!E7</f>
        <v>$1,300,000</v>
      </c>
    </row>
    <row r="8">
      <c r="E8" s="12" t="s">
        <v>58</v>
      </c>
      <c r="F8" s="24" t="str">
        <f>Presupuesto!E8</f>
        <v>$1,200,000</v>
      </c>
    </row>
    <row r="9">
      <c r="E9" s="10" t="s">
        <v>59</v>
      </c>
      <c r="F9" s="23" t="str">
        <f>Presupuesto!E9</f>
        <v>$900,000</v>
      </c>
    </row>
    <row r="10">
      <c r="E10" s="12" t="s">
        <v>60</v>
      </c>
      <c r="F10" s="24" t="str">
        <f>Presupuesto!E10</f>
        <v>$1,400,000</v>
      </c>
    </row>
    <row r="11">
      <c r="E11" s="10" t="s">
        <v>61</v>
      </c>
      <c r="F11" s="23" t="str">
        <f>Presupuesto!E11</f>
        <v>$600,000</v>
      </c>
    </row>
    <row r="12">
      <c r="E12" s="12" t="s">
        <v>62</v>
      </c>
      <c r="F12" s="24" t="str">
        <f>Presupuesto!E12</f>
        <v>$400,000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2">
    <mergeCell ref="A1:F1"/>
    <mergeCell ref="A2:F2"/>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18.0"/>
    <col customWidth="1" min="3" max="3" width="14.0"/>
    <col customWidth="1" min="4" max="4" width="22.0"/>
    <col customWidth="1" min="5" max="5" width="18.0"/>
    <col customWidth="1" min="6" max="6" width="14.0"/>
    <col customWidth="1" min="7" max="7" width="22.0"/>
    <col customWidth="1" min="8" max="11" width="8.71"/>
  </cols>
  <sheetData>
    <row r="1" ht="36.0" customHeight="1">
      <c r="A1" s="1" t="s">
        <v>102</v>
      </c>
      <c r="B1" s="2"/>
      <c r="C1" s="2"/>
      <c r="D1" s="2"/>
      <c r="E1" s="2"/>
      <c r="F1" s="2"/>
      <c r="G1" s="3"/>
    </row>
    <row r="2">
      <c r="A2" s="4" t="s">
        <v>103</v>
      </c>
    </row>
    <row r="4">
      <c r="B4" s="18" t="s">
        <v>97</v>
      </c>
      <c r="C4" s="18" t="s">
        <v>104</v>
      </c>
      <c r="D4" s="18" t="s">
        <v>105</v>
      </c>
      <c r="E4" s="18" t="s">
        <v>106</v>
      </c>
      <c r="F4" s="18" t="s">
        <v>107</v>
      </c>
      <c r="G4" s="18" t="s">
        <v>108</v>
      </c>
    </row>
    <row r="5">
      <c r="B5" s="10" t="s">
        <v>100</v>
      </c>
      <c r="C5" s="10" t="s">
        <v>109</v>
      </c>
      <c r="D5" s="27" t="str">
        <f>Supuestos_Turismo!$C$5/Supuestos_Turismo!$C$6*Supuestos_Turismo!$C$11</f>
        <v>7,313</v>
      </c>
      <c r="E5" s="23" t="str">
        <f>Supuestos_Turismo!$C$8</f>
        <v>$185,000</v>
      </c>
      <c r="F5" s="27" t="str">
        <f>Supuestos_Turismo!$C$9</f>
        <v>85</v>
      </c>
      <c r="G5" s="23" t="str">
        <f t="shared" ref="G5:G8" si="1">D5*E5*F5</f>
        <v>$114,989,062,500</v>
      </c>
    </row>
    <row r="6">
      <c r="B6" s="12" t="s">
        <v>100</v>
      </c>
      <c r="C6" s="12" t="s">
        <v>110</v>
      </c>
      <c r="D6" s="28" t="str">
        <f>(Supuestos_Turismo!$C$7-Supuestos_Turismo!$C$5)/Supuestos_Turismo!$C$10*Supuestos_Turismo!$C$11</f>
        <v>2,700</v>
      </c>
      <c r="E6" s="24" t="str">
        <f>Supuestos_Turismo!$C$8</f>
        <v>$185,000</v>
      </c>
      <c r="F6" s="28" t="str">
        <f>Supuestos_Turismo!$C$10</f>
        <v>280</v>
      </c>
      <c r="G6" s="24" t="str">
        <f t="shared" si="1"/>
        <v>$139,860,000,000</v>
      </c>
    </row>
    <row r="7">
      <c r="B7" s="10" t="s">
        <v>101</v>
      </c>
      <c r="C7" s="10" t="s">
        <v>109</v>
      </c>
      <c r="D7" s="27" t="str">
        <f>Supuestos_Turismo!$C$5/Supuestos_Turismo!$C$6*Supuestos_Turismo!$C$12</f>
        <v>1,625</v>
      </c>
      <c r="E7" s="23" t="str">
        <f>Supuestos_Turismo!$C$13</f>
        <v>$90,000</v>
      </c>
      <c r="F7" s="27" t="str">
        <f>Supuestos_Turismo!$C$9</f>
        <v>85</v>
      </c>
      <c r="G7" s="23" t="str">
        <f t="shared" si="1"/>
        <v>$12,431,250,000</v>
      </c>
    </row>
    <row r="8">
      <c r="B8" s="12" t="s">
        <v>101</v>
      </c>
      <c r="C8" s="12" t="s">
        <v>110</v>
      </c>
      <c r="D8" s="28" t="str">
        <f>(Supuestos_Turismo!$C$7-Supuestos_Turismo!$C$5)/Supuestos_Turismo!$C$10*Supuestos_Turismo!$C$12</f>
        <v>600</v>
      </c>
      <c r="E8" s="24" t="str">
        <f>Supuestos_Turismo!$C$13</f>
        <v>$90,000</v>
      </c>
      <c r="F8" s="28" t="str">
        <f>Supuestos_Turismo!$C$10</f>
        <v>280</v>
      </c>
      <c r="G8" s="24" t="str">
        <f t="shared" si="1"/>
        <v>$15,120,000,000</v>
      </c>
    </row>
    <row r="10">
      <c r="B10" s="29" t="s">
        <v>63</v>
      </c>
      <c r="C10" s="30"/>
      <c r="D10" s="30"/>
      <c r="E10" s="30"/>
      <c r="F10" s="9"/>
      <c r="G10" s="26" t="str">
        <f>SUM(G5:G8)</f>
        <v>$282,400,312,500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3">
    <mergeCell ref="A1:G1"/>
    <mergeCell ref="A2:G2"/>
    <mergeCell ref="B10:F10"/>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0.0"/>
    <col customWidth="1" min="3" max="3" width="62.0"/>
    <col customWidth="1" min="4" max="4" width="3.0"/>
    <col customWidth="1" min="5" max="11" width="8.71"/>
  </cols>
  <sheetData>
    <row r="1" ht="33.75" customHeight="1">
      <c r="A1" s="17" t="s">
        <v>111</v>
      </c>
      <c r="B1" s="2"/>
      <c r="C1" s="3"/>
    </row>
    <row r="2">
      <c r="A2" s="4" t="s">
        <v>112</v>
      </c>
    </row>
    <row r="4">
      <c r="B4" s="36" t="s">
        <v>113</v>
      </c>
    </row>
    <row r="5" ht="15.0" customHeight="1">
      <c r="B5" s="37" t="s">
        <v>114</v>
      </c>
    </row>
    <row r="10">
      <c r="B10" s="36" t="s">
        <v>115</v>
      </c>
    </row>
    <row r="11">
      <c r="B11" s="18" t="s">
        <v>116</v>
      </c>
      <c r="C11" s="18" t="s">
        <v>117</v>
      </c>
    </row>
    <row r="12" ht="61.5" customHeight="1">
      <c r="B12" s="38" t="s">
        <v>118</v>
      </c>
      <c r="C12" s="38" t="s">
        <v>119</v>
      </c>
    </row>
    <row r="13" ht="61.5" customHeight="1">
      <c r="B13" s="39" t="s">
        <v>120</v>
      </c>
      <c r="C13" s="39" t="s">
        <v>121</v>
      </c>
    </row>
    <row r="14" ht="61.5" customHeight="1">
      <c r="B14" s="38" t="s">
        <v>122</v>
      </c>
      <c r="C14" s="38" t="s">
        <v>123</v>
      </c>
    </row>
    <row r="15" ht="61.5" customHeight="1">
      <c r="B15" s="39" t="s">
        <v>124</v>
      </c>
      <c r="C15" s="39" t="s">
        <v>125</v>
      </c>
    </row>
    <row r="16" ht="61.5" customHeight="1">
      <c r="B16" s="38" t="s">
        <v>126</v>
      </c>
      <c r="C16" s="38" t="s">
        <v>127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5">
    <mergeCell ref="A1:C1"/>
    <mergeCell ref="A2:C2"/>
    <mergeCell ref="B4:C4"/>
    <mergeCell ref="B5:C8"/>
    <mergeCell ref="B10:C10"/>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0.0"/>
    <col customWidth="1" min="3" max="3" width="46.0"/>
    <col customWidth="1" min="4" max="4" width="18.0"/>
    <col customWidth="1" min="5" max="5" width="3.0"/>
    <col customWidth="1" min="6" max="11" width="8.71"/>
  </cols>
  <sheetData>
    <row r="1" ht="31.5" customHeight="1">
      <c r="A1" s="17" t="s">
        <v>128</v>
      </c>
      <c r="B1" s="2"/>
      <c r="C1" s="2"/>
      <c r="D1" s="3"/>
    </row>
    <row r="2">
      <c r="A2" s="4" t="s">
        <v>129</v>
      </c>
    </row>
    <row r="4">
      <c r="B4" s="5" t="s">
        <v>130</v>
      </c>
      <c r="C4" s="2"/>
      <c r="D4" s="3"/>
    </row>
    <row r="5">
      <c r="B5" s="18" t="s">
        <v>131</v>
      </c>
      <c r="C5" s="18" t="s">
        <v>132</v>
      </c>
      <c r="D5" s="18" t="s">
        <v>133</v>
      </c>
    </row>
    <row r="6" ht="45.75" customHeight="1">
      <c r="B6" s="38" t="s">
        <v>134</v>
      </c>
      <c r="C6" s="38" t="s">
        <v>135</v>
      </c>
      <c r="D6" s="40" t="s">
        <v>136</v>
      </c>
    </row>
    <row r="7" ht="45.75" customHeight="1">
      <c r="B7" s="39" t="s">
        <v>137</v>
      </c>
      <c r="C7" s="39" t="s">
        <v>138</v>
      </c>
      <c r="D7" s="41" t="s">
        <v>139</v>
      </c>
    </row>
    <row r="8" ht="45.75" customHeight="1">
      <c r="B8" s="38" t="s">
        <v>140</v>
      </c>
      <c r="C8" s="38" t="s">
        <v>141</v>
      </c>
      <c r="D8" s="40" t="s">
        <v>142</v>
      </c>
    </row>
    <row r="9" ht="45.75" customHeight="1">
      <c r="B9" s="39" t="s">
        <v>143</v>
      </c>
      <c r="C9" s="39" t="s">
        <v>144</v>
      </c>
      <c r="D9" s="41" t="s">
        <v>145</v>
      </c>
    </row>
    <row r="10" ht="45.75" customHeight="1">
      <c r="B10" s="38" t="s">
        <v>146</v>
      </c>
      <c r="C10" s="38" t="s">
        <v>147</v>
      </c>
      <c r="D10" s="40" t="s">
        <v>148</v>
      </c>
    </row>
    <row r="11" ht="45.75" customHeight="1">
      <c r="B11" s="39" t="s">
        <v>149</v>
      </c>
      <c r="C11" s="39" t="s">
        <v>150</v>
      </c>
      <c r="D11" s="41" t="s">
        <v>151</v>
      </c>
    </row>
    <row r="12" ht="45.75" customHeight="1">
      <c r="B12" s="38" t="s">
        <v>152</v>
      </c>
      <c r="C12" s="38" t="s">
        <v>153</v>
      </c>
      <c r="D12" s="40" t="s">
        <v>154</v>
      </c>
    </row>
    <row r="13" ht="45.75" customHeight="1">
      <c r="B13" s="39" t="s">
        <v>155</v>
      </c>
      <c r="C13" s="39" t="s">
        <v>156</v>
      </c>
      <c r="D13" s="41" t="s">
        <v>157</v>
      </c>
    </row>
    <row r="15">
      <c r="B15" s="5" t="s">
        <v>158</v>
      </c>
      <c r="C15" s="2"/>
      <c r="D15" s="3"/>
    </row>
    <row r="16">
      <c r="B16" s="10" t="s">
        <v>159</v>
      </c>
      <c r="C16" s="35" t="s">
        <v>160</v>
      </c>
      <c r="D16" s="9"/>
    </row>
    <row r="17">
      <c r="B17" s="12" t="s">
        <v>161</v>
      </c>
      <c r="C17" s="42" t="s">
        <v>162</v>
      </c>
      <c r="D17" s="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6">
    <mergeCell ref="A1:D1"/>
    <mergeCell ref="A2:D2"/>
    <mergeCell ref="B4:D4"/>
    <mergeCell ref="B15:D15"/>
    <mergeCell ref="C16:D16"/>
    <mergeCell ref="C17:D17"/>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2.0"/>
    <col customWidth="1" min="3" max="5" width="20.0"/>
    <col customWidth="1" min="6" max="6" width="3.0"/>
    <col customWidth="1" min="7" max="11" width="8.71"/>
  </cols>
  <sheetData>
    <row r="1" ht="31.5" customHeight="1">
      <c r="A1" s="1" t="s">
        <v>163</v>
      </c>
      <c r="B1" s="2"/>
      <c r="C1" s="2"/>
      <c r="D1" s="2"/>
      <c r="E1" s="3"/>
    </row>
    <row r="2">
      <c r="A2" s="4" t="s">
        <v>164</v>
      </c>
    </row>
    <row r="4">
      <c r="B4" s="18" t="s">
        <v>68</v>
      </c>
      <c r="C4" s="18" t="s">
        <v>100</v>
      </c>
      <c r="D4" s="18" t="s">
        <v>101</v>
      </c>
      <c r="E4" s="18" t="s">
        <v>165</v>
      </c>
    </row>
    <row r="5">
      <c r="B5" s="10" t="s">
        <v>55</v>
      </c>
      <c r="C5" s="23" t="str">
        <f>SUMIFS(Datos_Base!$D$5:$D$20,Datos_Base!$B$5:$B$20,$B5,Datos_Base!$C$5:$C$20,C$4)</f>
        <v>$2,400,000</v>
      </c>
      <c r="D5" s="23" t="str">
        <f>SUMIFS(Datos_Base!$D$5:$D$20,Datos_Base!$B$5:$B$20,$B5,Datos_Base!$C$5:$C$20,D$4)</f>
        <v>$1,600,000</v>
      </c>
      <c r="E5" s="23" t="str">
        <f t="shared" ref="E5:E12" si="1">C5+D5</f>
        <v>$4,000,000</v>
      </c>
    </row>
    <row r="6">
      <c r="B6" s="12" t="s">
        <v>56</v>
      </c>
      <c r="C6" s="24" t="str">
        <f>SUMIFS(Datos_Base!$D$5:$D$20,Datos_Base!$B$5:$B$20,$B6,Datos_Base!$C$5:$C$20,C$4)</f>
        <v>$1,320,000</v>
      </c>
      <c r="D6" s="24" t="str">
        <f>SUMIFS(Datos_Base!$D$5:$D$20,Datos_Base!$B$5:$B$20,$B6,Datos_Base!$C$5:$C$20,D$4)</f>
        <v>$880,000</v>
      </c>
      <c r="E6" s="24" t="str">
        <f t="shared" si="1"/>
        <v>$2,200,000</v>
      </c>
    </row>
    <row r="7">
      <c r="B7" s="10" t="s">
        <v>57</v>
      </c>
      <c r="C7" s="23" t="str">
        <f>SUMIFS(Datos_Base!$D$5:$D$20,Datos_Base!$B$5:$B$20,$B7,Datos_Base!$C$5:$C$20,C$4)</f>
        <v>$650,000</v>
      </c>
      <c r="D7" s="23" t="str">
        <f>SUMIFS(Datos_Base!$D$5:$D$20,Datos_Base!$B$5:$B$20,$B7,Datos_Base!$C$5:$C$20,D$4)</f>
        <v>$650,000</v>
      </c>
      <c r="E7" s="23" t="str">
        <f t="shared" si="1"/>
        <v>$1,300,000</v>
      </c>
    </row>
    <row r="8">
      <c r="B8" s="12" t="s">
        <v>58</v>
      </c>
      <c r="C8" s="24" t="str">
        <f>SUMIFS(Datos_Base!$D$5:$D$20,Datos_Base!$B$5:$B$20,$B8,Datos_Base!$C$5:$C$20,C$4)</f>
        <v>$660,000</v>
      </c>
      <c r="D8" s="24" t="str">
        <f>SUMIFS(Datos_Base!$D$5:$D$20,Datos_Base!$B$5:$B$20,$B8,Datos_Base!$C$5:$C$20,D$4)</f>
        <v>$540,000</v>
      </c>
      <c r="E8" s="24" t="str">
        <f t="shared" si="1"/>
        <v>$1,200,000</v>
      </c>
    </row>
    <row r="9">
      <c r="B9" s="10" t="s">
        <v>59</v>
      </c>
      <c r="C9" s="23" t="str">
        <f>SUMIFS(Datos_Base!$D$5:$D$20,Datos_Base!$B$5:$B$20,$B9,Datos_Base!$C$5:$C$20,C$4)</f>
        <v>$495,000</v>
      </c>
      <c r="D9" s="23" t="str">
        <f>SUMIFS(Datos_Base!$D$5:$D$20,Datos_Base!$B$5:$B$20,$B9,Datos_Base!$C$5:$C$20,D$4)</f>
        <v>$405,000</v>
      </c>
      <c r="E9" s="23" t="str">
        <f t="shared" si="1"/>
        <v>$900,000</v>
      </c>
    </row>
    <row r="10">
      <c r="B10" s="12" t="s">
        <v>60</v>
      </c>
      <c r="C10" s="24" t="str">
        <f>SUMIFS(Datos_Base!$D$5:$D$20,Datos_Base!$B$5:$B$20,$B10,Datos_Base!$C$5:$C$20,C$4)</f>
        <v>$840,000</v>
      </c>
      <c r="D10" s="24" t="str">
        <f>SUMIFS(Datos_Base!$D$5:$D$20,Datos_Base!$B$5:$B$20,$B10,Datos_Base!$C$5:$C$20,D$4)</f>
        <v>$560,000</v>
      </c>
      <c r="E10" s="24" t="str">
        <f t="shared" si="1"/>
        <v>$1,400,000</v>
      </c>
    </row>
    <row r="11">
      <c r="B11" s="10" t="s">
        <v>61</v>
      </c>
      <c r="C11" s="23" t="str">
        <f>SUMIFS(Datos_Base!$D$5:$D$20,Datos_Base!$B$5:$B$20,$B11,Datos_Base!$C$5:$C$20,C$4)</f>
        <v>$300,000</v>
      </c>
      <c r="D11" s="23" t="str">
        <f>SUMIFS(Datos_Base!$D$5:$D$20,Datos_Base!$B$5:$B$20,$B11,Datos_Base!$C$5:$C$20,D$4)</f>
        <v>$300,000</v>
      </c>
      <c r="E11" s="23" t="str">
        <f t="shared" si="1"/>
        <v>$600,000</v>
      </c>
    </row>
    <row r="12">
      <c r="B12" s="12" t="s">
        <v>62</v>
      </c>
      <c r="C12" s="24" t="str">
        <f>SUMIFS(Datos_Base!$D$5:$D$20,Datos_Base!$B$5:$B$20,$B12,Datos_Base!$C$5:$C$20,C$4)</f>
        <v>$200,000</v>
      </c>
      <c r="D12" s="24" t="str">
        <f>SUMIFS(Datos_Base!$D$5:$D$20,Datos_Base!$B$5:$B$20,$B12,Datos_Base!$C$5:$C$20,D$4)</f>
        <v>$200,000</v>
      </c>
      <c r="E12" s="24" t="str">
        <f t="shared" si="1"/>
        <v>$400,000</v>
      </c>
    </row>
    <row r="13">
      <c r="B13" s="25" t="s">
        <v>165</v>
      </c>
      <c r="C13" s="26" t="str">
        <f t="shared" ref="C13:E13" si="2">SUM(C5:C12)</f>
        <v>$6,865,000</v>
      </c>
      <c r="D13" s="26" t="str">
        <f t="shared" si="2"/>
        <v>$5,135,000</v>
      </c>
      <c r="E13" s="26" t="str">
        <f t="shared" si="2"/>
        <v>$12,000,000</v>
      </c>
    </row>
    <row r="16">
      <c r="B16" s="5" t="s">
        <v>166</v>
      </c>
      <c r="C16" s="2"/>
      <c r="D16" s="2"/>
      <c r="E16" s="3"/>
    </row>
    <row r="17">
      <c r="B17" s="18" t="s">
        <v>97</v>
      </c>
      <c r="C17" s="18" t="s">
        <v>167</v>
      </c>
      <c r="D17" s="18" t="s">
        <v>168</v>
      </c>
      <c r="E17" s="18" t="s">
        <v>169</v>
      </c>
    </row>
    <row r="18">
      <c r="B18" s="10" t="s">
        <v>100</v>
      </c>
      <c r="C18" s="23" t="str">
        <f>SUMIFS(Ingresos_Temporada!$G$5:$G$8,Ingresos_Temporada!$B$5:$B$8,$B18,Ingresos_Temporada!$C$5:$C$8,"Alta")</f>
        <v>$114,989,062,500</v>
      </c>
      <c r="D18" s="23" t="str">
        <f>SUMIFS(Ingresos_Temporada!$G$5:$G$8,Ingresos_Temporada!$B$5:$B$8,$B18,Ingresos_Temporada!$C$5:$C$8,"Baja")</f>
        <v>$139,860,000,000</v>
      </c>
      <c r="E18" s="23" t="str">
        <f t="shared" ref="E18:E19" si="3">C18+D18</f>
        <v>$254,849,062,500</v>
      </c>
    </row>
    <row r="19">
      <c r="B19" s="12" t="s">
        <v>101</v>
      </c>
      <c r="C19" s="24" t="str">
        <f>SUMIFS(Ingresos_Temporada!$G$5:$G$8,Ingresos_Temporada!$B$5:$B$8,$B19,Ingresos_Temporada!$C$5:$C$8,"Alta")</f>
        <v>$12,431,250,000</v>
      </c>
      <c r="D19" s="24" t="str">
        <f>SUMIFS(Ingresos_Temporada!$G$5:$G$8,Ingresos_Temporada!$B$5:$B$8,$B19,Ingresos_Temporada!$C$5:$C$8,"Baja")</f>
        <v>$15,120,000,000</v>
      </c>
      <c r="E19" s="24" t="str">
        <f t="shared" si="3"/>
        <v>$27,551,250,000</v>
      </c>
    </row>
    <row r="20">
      <c r="B20" s="25" t="s">
        <v>165</v>
      </c>
      <c r="C20" s="26" t="str">
        <f t="shared" ref="C20:E20" si="4">SUM(C18:C19)</f>
        <v>$127,420,312,500</v>
      </c>
      <c r="D20" s="26" t="str">
        <f t="shared" si="4"/>
        <v>$154,980,000,000</v>
      </c>
      <c r="E20" s="26" t="str">
        <f t="shared" si="4"/>
        <v>$282,400,312,500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3">
    <mergeCell ref="A1:E1"/>
    <mergeCell ref="A2:E2"/>
    <mergeCell ref="B16:E16"/>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90.0"/>
    <col customWidth="1" min="3" max="3" width="3.0"/>
    <col customWidth="1" min="4" max="11" width="8.71"/>
  </cols>
  <sheetData>
    <row r="1" ht="31.5" customHeight="1">
      <c r="A1" s="1" t="s">
        <v>170</v>
      </c>
      <c r="B1" s="3"/>
    </row>
    <row r="2">
      <c r="A2" s="4" t="s">
        <v>171</v>
      </c>
    </row>
    <row r="4">
      <c r="B4" s="36" t="s">
        <v>172</v>
      </c>
    </row>
    <row r="5">
      <c r="B5" s="43" t="s">
        <v>173</v>
      </c>
    </row>
    <row r="6" ht="15.0" customHeight="1">
      <c r="B6" s="44" t="s">
        <v>174</v>
      </c>
    </row>
    <row r="7">
      <c r="B7" s="45"/>
    </row>
    <row r="8">
      <c r="B8" s="45"/>
    </row>
    <row r="10">
      <c r="B10" s="43" t="s">
        <v>175</v>
      </c>
    </row>
    <row r="11" ht="15.0" customHeight="1">
      <c r="B11" s="44" t="s">
        <v>176</v>
      </c>
    </row>
    <row r="12">
      <c r="B12" s="45"/>
    </row>
    <row r="13">
      <c r="B13" s="45"/>
    </row>
    <row r="15">
      <c r="B15" s="43" t="s">
        <v>177</v>
      </c>
    </row>
    <row r="16" ht="15.0" customHeight="1">
      <c r="B16" s="44" t="s">
        <v>178</v>
      </c>
    </row>
    <row r="17">
      <c r="B17" s="45"/>
    </row>
    <row r="18">
      <c r="B18" s="45"/>
    </row>
    <row r="20">
      <c r="B20" s="43" t="s">
        <v>179</v>
      </c>
    </row>
    <row r="21" ht="15.0" customHeight="1">
      <c r="B21" s="44" t="s">
        <v>180</v>
      </c>
    </row>
    <row r="22" ht="15.75" customHeight="1">
      <c r="B22" s="45"/>
    </row>
    <row r="23" ht="15.75" customHeight="1">
      <c r="B23" s="45"/>
    </row>
    <row r="24" ht="15.75" customHeight="1"/>
    <row r="25" ht="15.75" customHeight="1">
      <c r="B25" s="43" t="s">
        <v>181</v>
      </c>
    </row>
    <row r="26" ht="15.0" customHeight="1">
      <c r="B26" s="44" t="s">
        <v>182</v>
      </c>
    </row>
    <row r="27" ht="15.75" customHeight="1">
      <c r="B27" s="45"/>
    </row>
    <row r="28" ht="15.75" customHeight="1">
      <c r="B28" s="45"/>
    </row>
    <row r="29" ht="15.75" customHeight="1"/>
    <row r="30" ht="15.75" customHeight="1">
      <c r="B30" s="43" t="s">
        <v>183</v>
      </c>
    </row>
    <row r="31" ht="15.0" customHeight="1">
      <c r="B31" s="44" t="s">
        <v>184</v>
      </c>
    </row>
    <row r="32" ht="15.75" customHeight="1">
      <c r="B32" s="45"/>
    </row>
    <row r="33" ht="15.75" customHeight="1">
      <c r="B33" s="45"/>
    </row>
    <row r="34" ht="15.75" customHeight="1"/>
    <row r="35" ht="15.75" customHeight="1">
      <c r="B35" s="43" t="s">
        <v>185</v>
      </c>
    </row>
    <row r="36" ht="15.0" customHeight="1">
      <c r="B36" s="44" t="s">
        <v>186</v>
      </c>
    </row>
    <row r="37" ht="15.75" customHeight="1">
      <c r="B37" s="45"/>
    </row>
    <row r="38" ht="15.75" customHeight="1">
      <c r="B38" s="45"/>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9">
    <mergeCell ref="B31:B33"/>
    <mergeCell ref="B36:B38"/>
    <mergeCell ref="A1:B1"/>
    <mergeCell ref="A2:B2"/>
    <mergeCell ref="B6:B8"/>
    <mergeCell ref="B11:B13"/>
    <mergeCell ref="B16:B18"/>
    <mergeCell ref="B21:B23"/>
    <mergeCell ref="B26:B28"/>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4.0"/>
    <col customWidth="1" min="3" max="4" width="22.0"/>
    <col customWidth="1" min="5" max="5" width="3.0"/>
    <col customWidth="1" min="6" max="11" width="8.71"/>
  </cols>
  <sheetData>
    <row r="1" ht="30.0" customHeight="1">
      <c r="A1" s="17" t="s">
        <v>187</v>
      </c>
      <c r="B1" s="2"/>
      <c r="C1" s="2"/>
      <c r="D1" s="3"/>
    </row>
    <row r="2">
      <c r="A2" s="4"/>
    </row>
    <row r="4">
      <c r="B4" s="18" t="s">
        <v>68</v>
      </c>
      <c r="C4" s="18" t="s">
        <v>97</v>
      </c>
      <c r="D4" s="18" t="s">
        <v>70</v>
      </c>
    </row>
    <row r="5">
      <c r="B5" s="10" t="s">
        <v>55</v>
      </c>
      <c r="C5" s="10" t="s">
        <v>100</v>
      </c>
      <c r="D5" s="23" t="str">
        <f>Presupuesto!C5</f>
        <v>$2,400,000</v>
      </c>
    </row>
    <row r="6">
      <c r="B6" s="12" t="s">
        <v>55</v>
      </c>
      <c r="C6" s="12" t="s">
        <v>101</v>
      </c>
      <c r="D6" s="24" t="str">
        <f>Presupuesto!D5</f>
        <v>$1,600,000</v>
      </c>
    </row>
    <row r="7">
      <c r="B7" s="10" t="s">
        <v>56</v>
      </c>
      <c r="C7" s="10" t="s">
        <v>100</v>
      </c>
      <c r="D7" s="23" t="str">
        <f>Presupuesto!C6</f>
        <v>$1,320,000</v>
      </c>
    </row>
    <row r="8">
      <c r="B8" s="12" t="s">
        <v>56</v>
      </c>
      <c r="C8" s="12" t="s">
        <v>101</v>
      </c>
      <c r="D8" s="24" t="str">
        <f>Presupuesto!D6</f>
        <v>$880,000</v>
      </c>
    </row>
    <row r="9">
      <c r="B9" s="10" t="s">
        <v>57</v>
      </c>
      <c r="C9" s="10" t="s">
        <v>100</v>
      </c>
      <c r="D9" s="23" t="str">
        <f>Presupuesto!C7</f>
        <v>$650,000</v>
      </c>
    </row>
    <row r="10">
      <c r="B10" s="12" t="s">
        <v>57</v>
      </c>
      <c r="C10" s="12" t="s">
        <v>101</v>
      </c>
      <c r="D10" s="24" t="str">
        <f>Presupuesto!D7</f>
        <v>$650,000</v>
      </c>
    </row>
    <row r="11">
      <c r="B11" s="10" t="s">
        <v>58</v>
      </c>
      <c r="C11" s="10" t="s">
        <v>100</v>
      </c>
      <c r="D11" s="23" t="str">
        <f>Presupuesto!C8</f>
        <v>$660,000</v>
      </c>
    </row>
    <row r="12">
      <c r="B12" s="12" t="s">
        <v>58</v>
      </c>
      <c r="C12" s="12" t="s">
        <v>101</v>
      </c>
      <c r="D12" s="24" t="str">
        <f>Presupuesto!D8</f>
        <v>$540,000</v>
      </c>
    </row>
    <row r="13">
      <c r="B13" s="10" t="s">
        <v>59</v>
      </c>
      <c r="C13" s="10" t="s">
        <v>100</v>
      </c>
      <c r="D13" s="23" t="str">
        <f>Presupuesto!C9</f>
        <v>$495,000</v>
      </c>
    </row>
    <row r="14">
      <c r="B14" s="12" t="s">
        <v>59</v>
      </c>
      <c r="C14" s="12" t="s">
        <v>101</v>
      </c>
      <c r="D14" s="24" t="str">
        <f>Presupuesto!D9</f>
        <v>$405,000</v>
      </c>
    </row>
    <row r="15">
      <c r="B15" s="10" t="s">
        <v>60</v>
      </c>
      <c r="C15" s="10" t="s">
        <v>100</v>
      </c>
      <c r="D15" s="23" t="str">
        <f>Presupuesto!C10</f>
        <v>$840,000</v>
      </c>
    </row>
    <row r="16">
      <c r="B16" s="12" t="s">
        <v>60</v>
      </c>
      <c r="C16" s="12" t="s">
        <v>101</v>
      </c>
      <c r="D16" s="24" t="str">
        <f>Presupuesto!D10</f>
        <v>$560,000</v>
      </c>
    </row>
    <row r="17">
      <c r="B17" s="10" t="s">
        <v>61</v>
      </c>
      <c r="C17" s="10" t="s">
        <v>100</v>
      </c>
      <c r="D17" s="23" t="str">
        <f>Presupuesto!C11</f>
        <v>$300,000</v>
      </c>
    </row>
    <row r="18">
      <c r="B18" s="12" t="s">
        <v>61</v>
      </c>
      <c r="C18" s="12" t="s">
        <v>101</v>
      </c>
      <c r="D18" s="24" t="str">
        <f>Presupuesto!D11</f>
        <v>$300,000</v>
      </c>
    </row>
    <row r="19">
      <c r="B19" s="10" t="s">
        <v>62</v>
      </c>
      <c r="C19" s="10" t="s">
        <v>100</v>
      </c>
      <c r="D19" s="23" t="str">
        <f>Presupuesto!C12</f>
        <v>$200,000</v>
      </c>
    </row>
    <row r="20">
      <c r="B20" s="12" t="s">
        <v>62</v>
      </c>
      <c r="C20" s="12" t="s">
        <v>101</v>
      </c>
      <c r="D20" s="24" t="str">
        <f>Presupuesto!D12</f>
        <v>$200,000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2">
    <mergeCell ref="A1:D1"/>
    <mergeCell ref="A2:D2"/>
  </mergeCells>
  <printOptions/>
  <pageMargins bottom="1.0" footer="0.0" header="0.0" left="0.75" right="0.75" top="1.0"/>
  <pageSetup paperSize="9" orientation="portrait"/>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2026-08-13T18:48:14Z</dcterms:created>
  <dc:creator>openpyxl</dc:creator>
  <dc:description/>
  <dc:language>en-US</dc:language>
  <cp:lastModifiedBy/>
  <dcterms:modified xsi:type="dcterms:W3CDTF">2026-08-13T18:48:18Z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